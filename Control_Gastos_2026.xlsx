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sión General" sheetId="1" state="visible" r:id="rId3"/>
    <sheet name="Instrucciones" sheetId="2" state="visible" r:id="rId4"/>
    <sheet name="Categorías" sheetId="3" state="visible" r:id="rId5"/>
    <sheet name="Enero" sheetId="4" state="visible" r:id="rId6"/>
    <sheet name="Febrero" sheetId="5" state="visible" r:id="rId7"/>
    <sheet name="Marzo" sheetId="6" state="visible" r:id="rId8"/>
    <sheet name="Abril" sheetId="7" state="visible" r:id="rId9"/>
    <sheet name="Mayo" sheetId="8" state="visible" r:id="rId10"/>
    <sheet name="Junio" sheetId="9" state="visible" r:id="rId11"/>
    <sheet name="Julio" sheetId="10" state="visible" r:id="rId12"/>
    <sheet name="Agosto" sheetId="11" state="visible" r:id="rId13"/>
    <sheet name="Septiembre" sheetId="12" state="visible" r:id="rId14"/>
    <sheet name="Octubre" sheetId="13" state="visible" r:id="rId15"/>
    <sheet name="Noviembre" sheetId="14" state="visible" r:id="rId16"/>
    <sheet name="Diciembre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<sst xmlns="http://schemas.openxmlformats.org/spreadsheetml/2006/main" count="284" uniqueCount="91">
  <si>
    <t xml:space="preserve">Visión General 2026</t>
  </si>
  <si>
    <t xml:space="preserve">Categoría</t>
  </si>
  <si>
    <t xml:space="preserve">Tipo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</si>
  <si>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</si>
  <si>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</si>
  <si>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</si>
  <si>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</si>
  <si>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</si>
  <si>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</si>
  <si>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</si>
  <si>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</si>
  <si>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</si>
  <si>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</si>
  <si>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</si>
  <si>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</si>
  <si>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Total</t>
  </si>
  <si>
    <t xml:space="preserve">% del año</t>
  </si>
  <si>
    <t xml:space="preserve">Videojuegos</t>
  </si>
  <si>
    <t xml:space="preserve">Apuestas</t>
  </si>
  <si>
    <t xml:space="preserve">Salidas/Ocio</t>
  </si>
  <si>
    <t xml:space="preserve">Suscripciones ocio</t>
  </si>
  <si>
    <t xml:space="preserve">Viajes</t>
  </si>
  <si>
    <t xml:space="preserve">Padel</t>
  </si>
  <si>
    <t xml:space="preserve">Alimentación</t>
  </si>
  <si>
    <t xml:space="preserve">Barça</t>
  </si>
  <si>
    <t xml:space="preserve">Vivienda/Alquiler</t>
  </si>
  <si>
    <t xml:space="preserve">Transporte</t>
  </si>
  <si>
    <t xml:space="preserve">Salud</t>
  </si>
  <si>
    <t xml:space="preserve">Barbero</t>
  </si>
  <si>
    <t xml:space="preserve">Otros</t>
  </si>
  <si>
    <t xml:space="preserve">Burocracia</t>
  </si>
  <si>
    <t xml:space="preserve">Regalos</t>
  </si>
  <si>
    <t xml:space="preserve">Multas</t>
  </si>
  <si>
    <t xml:space="preserve">TOTAL</t>
  </si>
  <si>
    <t xml:space="preserve">Total Ocio</t>
  </si>
  <si>
    <t xml:space="preserve">Total Ordinario</t>
  </si>
  <si>
    <t xml:space="preserve">Total Extraordinario</t>
  </si>
  <si>
    <t xml:space="preserve">Cómo usar este Excel de control de gastos</t>
  </si>
  <si>
    <t xml:space="preserve">1. Cada mes tiene su propia pestaña (Enero...Diciembre). Ahí vas anotando cada gasto según ocurre.</t>
  </si>
  <si>
    <t xml:space="preserve">2. Columnas de cada pestaña mensual:</t>
  </si>
  <si>
    <t xml:space="preserve">     - Fecha: fecha del gasto</t>
  </si>
  <si>
    <t xml:space="preserve">     - Descripción: texto libre (ej. 'Cena con amigos')</t>
  </si>
  <si>
    <t xml:space="preserve">     - Categoría: elige de la lista desplegable (Videojuegos, Apuestas, Comida/Bebidas, etc.)</t>
  </si>
  <si>
    <t xml:space="preserve">     - Tipo: se rellena SOLO, según la categoría elegida (Ocio u Ordinario)</t>
  </si>
  <si>
    <t xml:space="preserve">     - Importe: cantidad en euros (número, sin símbolo €)</t>
  </si>
  <si>
    <t xml:space="preserve">3. Las celdas en AZUL son las que tú rellenas. Las celdas en NEGRO tienen fórmulas — no las toques.</t>
  </si>
  <si>
    <t xml:space="preserve">4. La pestaña 'Categorías' es la lista maestra: si quieres añadir o cambiar una categoría, edítala ahí</t>
  </si>
  <si>
    <t xml:space="preserve">    (y el desplegable de los meses se actualizará solo).</t>
  </si>
  <si>
    <t xml:space="preserve">5. La pestaña 'Visión General' se calcula sola a partir de los 12 meses: no hay que tocar nada ahí,</t>
  </si>
  <si>
    <t xml:space="preserve">    solo mirar los totales, porcentajes y los dos gráficos (reparto por categoría y evolución Ocio/Ordinario).</t>
  </si>
  <si>
    <t xml:space="preserve">Ejemplo de una fila de gasto (así se vería en una pestaña de mes):</t>
  </si>
  <si>
    <t xml:space="preserve">Fecha</t>
  </si>
  <si>
    <t xml:space="preserve">Descripción</t>
  </si>
  <si>
    <t xml:space="preserve">Importe</t>
  </si>
  <si>
    <t xml:space="preserve">15/07/2026</t>
  </si>
  <si>
    <t xml:space="preserve">Cena con amigos</t>
  </si>
  <si>
    <t xml:space="preserve">Ordinario</t>
  </si>
  <si>
    <t xml:space="preserve">Ocio</t>
  </si>
  <si>
    <t xml:space="preserve">Extraordinario</t>
  </si>
  <si>
    <t xml:space="preserve">Gastos — Enero 2026</t>
  </si>
  <si>
    <t xml:space="preserve">Resumen del mes</t>
  </si>
  <si>
    <t xml:space="preserve">TOTAL MES</t>
  </si>
  <si>
    <t xml:space="preserve">Gastos — Febrero 2026</t>
  </si>
  <si>
    <t xml:space="preserve">Gastos — Marzo 2026</t>
  </si>
  <si>
    <t xml:space="preserve">Gastos — Abril 2026</t>
  </si>
  <si>
    <t xml:space="preserve">Gastos — Mayo 2026</t>
  </si>
  <si>
    <t xml:space="preserve">Gastos — Junio 2026</t>
  </si>
  <si>
    <t xml:space="preserve">Gastos — Julio 2026</t>
  </si>
  <si>
    <t xml:space="preserve">Paki</t>
  </si>
  <si>
    <t xml:space="preserve">Flores</t>
  </si>
  <si>
    <t xml:space="preserve">Monster</t>
  </si>
  <si>
    <t xml:space="preserve">bet</t>
  </si>
  <si>
    <t xml:space="preserve">encuadernar tfg</t>
  </si>
  <si>
    <t xml:space="preserve">McDonalds</t>
  </si>
  <si>
    <t xml:space="preserve">Casa Rural</t>
  </si>
  <si>
    <t xml:space="preserve">Título uni</t>
  </si>
  <si>
    <t xml:space="preserve">Cine+macdonalds</t>
  </si>
  <si>
    <t xml:space="preserve">EA FC</t>
  </si>
  <si>
    <t xml:space="preserve">Multa velocidad</t>
  </si>
  <si>
    <t xml:space="preserve">Spotify</t>
  </si>
  <si>
    <t xml:space="preserve">Gastos — Agosto 2026</t>
  </si>
  <si>
    <t xml:space="preserve">Monólogo+birras</t>
  </si>
  <si>
    <t xml:space="preserve">Mascarilla</t>
  </si>
  <si>
    <t xml:space="preserve">Cine</t>
  </si>
  <si>
    <t xml:space="preserve">Mc Donalds</t>
  </si>
  <si>
    <t xml:space="preserve">Crunchyroll</t>
  </si>
  <si>
    <t xml:space="preserve">Monsters</t>
  </si>
  <si>
    <t xml:space="preserve">Gastos — Septiembre 2026</t>
  </si>
  <si>
    <t xml:space="preserve">Gastos — Octubre 2026</t>
  </si>
  <si>
    <t xml:space="preserve">Gastos — Noviembre 2026</t>
  </si>
  <si>
    <t xml:space="preserve">Gastos — Diciembre 2026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</si>
</sst>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"/>
    <numFmt numFmtId="166" formatCode="0.0%"/>
    <numFmt numFmtId="167" formatCode="m/d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6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A900"/>
        <bgColor rgb="FFF79646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7B7B7"/>
      <rgbColor rgb="FF809B49"/>
      <rgbColor rgb="FF9999FF"/>
      <rgbColor rgb="FF9F423F"/>
      <rgbColor rgb="FFFFFFCC"/>
      <rgbColor rgb="FFDCE6F1"/>
      <rgbColor rgb="FF660066"/>
      <rgbColor rgb="FFF7964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BAD7"/>
      <rgbColor rgb="FFD8AAA9"/>
      <rgbColor rgb="FFB9AFC9"/>
      <rgbColor rgb="FFC5D6AC"/>
      <rgbColor rgb="FF416A9C"/>
      <rgbColor rgb="FF4BACC6"/>
      <rgbColor rgb="FF9BBB59"/>
      <rgbColor rgb="FFFFCC00"/>
      <rgbColor rgb="FFF2A900"/>
      <rgbColor rgb="FFCC7C3A"/>
      <rgbColor rgb="FF8064A2"/>
      <rgbColor rgb="FFB3B3B3"/>
      <rgbColor rgb="FF003366"/>
      <rgbColor rgb="FF3E8EA4"/>
      <rgbColor rgb="FF003300"/>
      <rgbColor rgb="FF333300"/>
      <rgbColor rgb="FF993300"/>
      <rgbColor rgb="FFC0504D"/>
      <rgbColor rgb="FF6A52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</a:rPr>
              <a:t>Reparto anual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16a9c"/>
              </a:solidFill>
              <a:ln w="0">
                <a:noFill/>
              </a:ln>
            </c:spPr>
          </c:dPt>
          <c:dPt>
            <c:idx val="1"/>
            <c:spPr>
              <a:solidFill>
                <a:srgbClr val="9f423f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09b4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6a5286"/>
              </a:solidFill>
              <a:ln w="0">
                <a:noFill/>
              </a:ln>
            </c:spPr>
          </c:dPt>
          <c:dPt>
            <c:idx val="4"/>
            <c:spPr>
              <a:solidFill>
                <a:srgbClr val="3e8ea4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c7c3a"/>
              </a:solidFill>
              <a:ln w="0">
                <a:noFill/>
              </a:ln>
            </c:spPr>
          </c:dPt>
          <c:dPt>
            <c:idx val="6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7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8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9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79646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aabad7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d8aaa9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c5d6ac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b9afc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'Visión General'!$A$3:$A$18</c:f>
              <c:strCache>
                <c:ptCount val="16"/>
                <c:pt idx="0">
                  <c:v>Videojuegos</c:v>
                </c:pt>
                <c:pt idx="1">
                  <c:v>Apuestas</c:v>
                </c:pt>
                <c:pt idx="2">
                  <c:v>Salidas/Ocio</c:v>
                </c:pt>
                <c:pt idx="3">
                  <c:v>Suscripciones ocio</c:v>
                </c:pt>
                <c:pt idx="4">
                  <c:v>Viajes</c:v>
                </c:pt>
                <c:pt idx="5">
                  <c:v>Padel</c:v>
                </c:pt>
                <c:pt idx="6">
                  <c:v>Alimentación</c:v>
                </c:pt>
                <c:pt idx="7">
                  <c:v>Barça</c:v>
                </c:pt>
                <c:pt idx="8">
                  <c:v>Vivienda/Alquiler</c:v>
                </c:pt>
                <c:pt idx="9">
                  <c:v>Transporte</c:v>
                </c:pt>
                <c:pt idx="10">
                  <c:v>Salud</c:v>
                </c:pt>
                <c:pt idx="11">
                  <c:v>Barbero</c:v>
                </c:pt>
                <c:pt idx="12">
                  <c:v>Otros</c:v>
                </c:pt>
                <c:pt idx="13">
                  <c:v>Burocracia</c:v>
                </c:pt>
                <c:pt idx="14">
                  <c:v>Regalos</c:v>
                </c:pt>
                <c:pt idx="15">
                  <c:v>Multas</c:v>
                </c:pt>
              </c:strCache>
            </c:strRef>
          </c:cat>
          <c:val>
            <c:numRef>
              <c:f>'Visión General'!$O$3:$O$18</c:f>
              <c:numCache>
                <c:formatCode>#,##0.00" €"</c:formatCode>
                <c:ptCount val="16"/>
                <c:pt idx="0">
                  <c:v>40</c:v>
                </c:pt>
                <c:pt idx="1">
                  <c:v>40</c:v>
                </c:pt>
                <c:pt idx="2">
                  <c:v>147.65</c:v>
                </c:pt>
                <c:pt idx="3">
                  <c:v>19.5</c:v>
                </c:pt>
                <c:pt idx="4">
                  <c:v>0</c:v>
                </c:pt>
                <c:pt idx="5">
                  <c:v>28.26</c:v>
                </c:pt>
                <c:pt idx="6">
                  <c:v>36.4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15</c:v>
                </c:pt>
                <c:pt idx="12">
                  <c:v>0</c:v>
                </c:pt>
                <c:pt idx="13">
                  <c:v>237.3</c:v>
                </c:pt>
                <c:pt idx="14">
                  <c:v>26.35</c:v>
                </c:pt>
                <c:pt idx="15">
                  <c:v>50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</a:rPr>
              <a:t>Evolución mensual por tipo (Ocio / Ordinario / Extraordinario)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"Total Ocio"</c:f>
              <c:strCache>
                <c:ptCount val="1"/>
                <c:pt idx="0">
                  <c:v>Total Ocio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'Visión General'!$C$2:$N$2</c:f>
              <c:multiLvlStrCache>
                <c:ptCount val="1"/>
                <c:lvl>
                  <c:pt idx="0">
                    <c:v>Diciembre</c:v>
                  </c:pt>
                </c:lvl>
                <c:lvl>
                  <c:pt idx="0">
                    <c:v>Noviembre</c:v>
                  </c:pt>
                </c:lvl>
                <c:lvl>
                  <c:pt idx="0">
                    <c:v>Octubre</c:v>
                  </c:pt>
                </c:lvl>
                <c:lvl>
                  <c:pt idx="0">
                    <c:v>Septiembre</c:v>
                  </c:pt>
                </c:lvl>
                <c:lvl>
                  <c:pt idx="0">
                    <c:v>Agosto</c:v>
                  </c:pt>
                </c:lvl>
                <c:lvl>
                  <c:pt idx="0">
                    <c:v>Julio</c:v>
                  </c:pt>
                </c:lvl>
                <c:lvl>
                  <c:pt idx="0">
                    <c:v>Junio</c:v>
                  </c:pt>
                </c:lvl>
                <c:lvl>
                  <c:pt idx="0">
                    <c:v>Mayo</c:v>
                  </c:pt>
                </c:lvl>
                <c:lvl>
                  <c:pt idx="0">
                    <c:v>Abril</c:v>
                  </c:pt>
                </c:lvl>
                <c:lvl>
                  <c:pt idx="0">
                    <c:v>Marzo</c:v>
                  </c:pt>
                </c:lvl>
                <c:lvl>
                  <c:pt idx="0">
                    <c:v>Febrero</c:v>
                  </c:pt>
                </c:lvl>
                <c:lvl>
                  <c:pt idx="0">
                    <c:v>Enero</c:v>
                  </c:pt>
                </c:lvl>
              </c:multiLvlStrCache>
            </c:multiLvlStrRef>
          </c:cat>
          <c:val>
            <c:numRef>
              <c:f>'Visión General'!$C$22:$N$22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241.66</c:v>
                </c:pt>
                <c:pt idx="7">
                  <c:v>70.15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"Total Ordinario"</c:f>
              <c:strCache>
                <c:ptCount val="1"/>
                <c:pt idx="0">
                  <c:v>Total Ordinario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'Visión General'!$C$2:$N$2</c:f>
              <c:multiLvlStrCache>
                <c:ptCount val="1"/>
                <c:lvl>
                  <c:pt idx="0">
                    <c:v>Diciembre</c:v>
                  </c:pt>
                </c:lvl>
                <c:lvl>
                  <c:pt idx="0">
                    <c:v>Noviembre</c:v>
                  </c:pt>
                </c:lvl>
                <c:lvl>
                  <c:pt idx="0">
                    <c:v>Octubre</c:v>
                  </c:pt>
                </c:lvl>
                <c:lvl>
                  <c:pt idx="0">
                    <c:v>Septiembre</c:v>
                  </c:pt>
                </c:lvl>
                <c:lvl>
                  <c:pt idx="0">
                    <c:v>Agosto</c:v>
                  </c:pt>
                </c:lvl>
                <c:lvl>
                  <c:pt idx="0">
                    <c:v>Julio</c:v>
                  </c:pt>
                </c:lvl>
                <c:lvl>
                  <c:pt idx="0">
                    <c:v>Junio</c:v>
                  </c:pt>
                </c:lvl>
                <c:lvl>
                  <c:pt idx="0">
                    <c:v>Mayo</c:v>
                  </c:pt>
                </c:lvl>
                <c:lvl>
                  <c:pt idx="0">
                    <c:v>Abril</c:v>
                  </c:pt>
                </c:lvl>
                <c:lvl>
                  <c:pt idx="0">
                    <c:v>Marzo</c:v>
                  </c:pt>
                </c:lvl>
                <c:lvl>
                  <c:pt idx="0">
                    <c:v>Febrero</c:v>
                  </c:pt>
                </c:lvl>
                <c:lvl>
                  <c:pt idx="0">
                    <c:v>Enero</c:v>
                  </c:pt>
                </c:lvl>
              </c:multiLvlStrCache>
            </c:multiLvlStrRef>
          </c:cat>
          <c:val>
            <c:numRef>
              <c:f>'Visión General'!$C$23:$N$23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"Total Extraordinario"</c:f>
              <c:strCache>
                <c:ptCount val="1"/>
                <c:pt idx="0">
                  <c:v>Total Extraordinario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'Visión General'!$C$2:$N$2</c:f>
              <c:multiLvlStrCache>
                <c:ptCount val="1"/>
                <c:lvl>
                  <c:pt idx="0">
                    <c:v>Diciembre</c:v>
                  </c:pt>
                </c:lvl>
                <c:lvl>
                  <c:pt idx="0">
                    <c:v>Noviembre</c:v>
                  </c:pt>
                </c:lvl>
                <c:lvl>
                  <c:pt idx="0">
                    <c:v>Octubre</c:v>
                  </c:pt>
                </c:lvl>
                <c:lvl>
                  <c:pt idx="0">
                    <c:v>Septiembre</c:v>
                  </c:pt>
                </c:lvl>
                <c:lvl>
                  <c:pt idx="0">
                    <c:v>Agosto</c:v>
                  </c:pt>
                </c:lvl>
                <c:lvl>
                  <c:pt idx="0">
                    <c:v>Julio</c:v>
                  </c:pt>
                </c:lvl>
                <c:lvl>
                  <c:pt idx="0">
                    <c:v>Junio</c:v>
                  </c:pt>
                </c:lvl>
                <c:lvl>
                  <c:pt idx="0">
                    <c:v>Mayo</c:v>
                  </c:pt>
                </c:lvl>
                <c:lvl>
                  <c:pt idx="0">
                    <c:v>Abril</c:v>
                  </c:pt>
                </c:lvl>
                <c:lvl>
                  <c:pt idx="0">
                    <c:v>Marzo</c:v>
                  </c:pt>
                </c:lvl>
                <c:lvl>
                  <c:pt idx="0">
                    <c:v>Febrero</c:v>
                  </c:pt>
                </c:lvl>
                <c:lvl>
                  <c:pt idx="0">
                    <c:v>Enero</c:v>
                  </c:pt>
                </c:lvl>
              </c:multiLvlStrCache>
            </c:multiLvlStrRef>
          </c:cat>
          <c:val>
            <c:numRef>
              <c:f>'Visión General'!$C$24:$N$24</c:f>
              <c:numCache>
                <c:formatCode>#,##0.00" 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307.3</c:v>
                </c:pt>
                <c:pt idx="7">
                  <c:v>6.35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11462701"/>
        <c:axId val="73699943"/>
      </c:barChart>
      <c:catAx>
        <c:axId val="114627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9943"/>
        <c:crosses val="autoZero"/>
        <c:auto val="1"/>
        <c:lblAlgn val="ctr"/>
        <c:lblOffset val="100"/>
        <c:noMultiLvlLbl val="0"/>
      </c:catAx>
      <c:valAx>
        <c:axId val="736999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627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0</xdr:rowOff>
    </xdr:from>
    <xdr:to>
      <xdr:col>5</xdr:col>
      <xdr:colOff>676080</xdr:colOff>
      <xdr:row>43</xdr:row>
      <xdr:rowOff>169560</xdr:rowOff>
    </xdr:to>
    <xdr:graphicFrame>
      <xdr:nvGraphicFramePr>
        <xdr:cNvPr id="0" name="Chart 1"/>
        <xdr:cNvGraphicFramePr/>
      </xdr:nvGraphicFramePr>
      <xdr:xfrm>
        <a:off x="0" y="4876920"/>
        <a:ext cx="5398560" cy="35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16</xdr:col>
      <xdr:colOff>79560</xdr:colOff>
      <xdr:row>43</xdr:row>
      <xdr:rowOff>169560</xdr:rowOff>
    </xdr:to>
    <xdr:graphicFrame>
      <xdr:nvGraphicFramePr>
        <xdr:cNvPr id="1" name="Chart 2"/>
        <xdr:cNvGraphicFramePr/>
      </xdr:nvGraphicFramePr>
      <xdr:xfrm>
        <a:off x="6273000" y="4876920"/>
        <a:ext cx="7198560" cy="35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false" showRowColHeaders="true" showZeros="true" rightToLeft="false" tabSelected="true" showOutlineSymbols="true" defaultGridColor="true" view="normal" topLeftCell="A16" colorId="64" zoomScale="70" zoomScaleNormal="70" zoomScalePageLayoutView="100" workbookViewId="0">
      <selection pane="topLeft" activeCell="Q21" activeCellId="0" sqref="Q2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11"/>
    <col collapsed="false" customWidth="true" hidden="false" outlineLevel="0" max="17" min="17" style="0" width="17.42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</v>
      </c>
    </row>
    <row r="3" customFormat="false" ht="15" hidden="false" customHeight="true" outlineLevel="0" collapsed="false">
      <c r="A3" s="3" t="str">
        <f aca="false">Categorías!A2</f>
        <v>Videojuegos</v>
      </c>
      <c r="B3" s="3" t="str">
        <f aca="false">Categorías!B2</f>
        <v>Ocio</v>
      </c>
      <c r="C3" s="4" t="n">
        <f aca="false">SUMIF(Enero!$C$3:$C$32,$A3,Enero!$E$3:$E$32)</f>
        <v>0</v>
      </c>
      <c r="D3" s="4" t="n">
        <f aca="false">SUMIF(Febrero!$C$3:$C$32,$A3,Febrero!$E$3:$E$32)</f>
        <v>0</v>
      </c>
      <c r="E3" s="4" t="n">
        <f aca="false">SUMIF(Marzo!$C$3:$C$32,$A3,Marzo!$E$3:$E$32)</f>
        <v>0</v>
      </c>
      <c r="F3" s="4" t="n">
        <f aca="false">SUMIF(Abril!$C$3:$C$32,$A3,Abril!$E$3:$E$32)</f>
        <v>0</v>
      </c>
      <c r="G3" s="4" t="n">
        <f aca="false">SUMIF(Mayo!$C$3:$C$32,$A3,Mayo!$E$3:$E$32)</f>
        <v>0</v>
      </c>
      <c r="H3" s="4" t="n">
        <f aca="false">SUMIF(Junio!$C$3:$C$32,$A3,Junio!$E$3:$E$32)</f>
        <v>0</v>
      </c>
      <c r="I3" s="4" t="n">
        <f aca="false">SUMIF(Julio!$C$3:$C$32,$A3,Julio!$E$3:$E$32)</f>
        <v>40</v>
      </c>
      <c r="J3" s="4" t="n">
        <f aca="false">SUMIF(Agosto!$C$3:$C$32,$A3,Agosto!$E$3:$E$32)</f>
        <v>0</v>
      </c>
      <c r="K3" s="4" t="n">
        <f aca="false">SUMIF(Septiembre!$C$3:$C$32,$A3,Septiembre!$E$3:$E$32)</f>
        <v>0</v>
      </c>
      <c r="L3" s="4" t="n">
        <f aca="false">SUMIF(Octubre!$C$3:$C$32,$A3,Octubre!$E$3:$E$32)</f>
        <v>0</v>
      </c>
      <c r="M3" s="4" t="n">
        <f aca="false">SUMIF(Noviembre!$C$3:$C$32,$A3,Noviembre!$E$3:$E$32)</f>
        <v>0</v>
      </c>
      <c r="N3" s="4" t="n">
        <f aca="false">SUMIF(Diciembre!$C$3:$C$32,$A3,Diciembre!$E$3:$E$32)</f>
        <v>0</v>
      </c>
      <c r="O3" s="5" t="n">
        <f aca="false">SUM(C3:N3)</f>
        <v>40</v>
      </c>
      <c r="P3" s="6" t="n">
        <f aca="false">IFERROR(O3/$O$20,0)</f>
        <v>0.0624551103894076</v>
      </c>
      <c r="Q3" s="3" t="s">
        <v>17</v>
      </c>
    </row>
    <row r="4" customFormat="false" ht="15" hidden="false" customHeight="true" outlineLevel="0" collapsed="false">
      <c r="A4" s="3" t="str">
        <f aca="false">Categorías!A3</f>
        <v>Apuestas</v>
      </c>
      <c r="B4" s="3" t="str">
        <f aca="false">Categorías!B3</f>
        <v>Ocio</v>
      </c>
      <c r="C4" s="4" t="n">
        <f aca="false">SUMIF(Enero!$C$3:$C$32,$A4,Enero!$E$3:$E$32)</f>
        <v>0</v>
      </c>
      <c r="D4" s="4" t="n">
        <f aca="false">SUMIF(Febrero!$C$3:$C$32,$A4,Febrero!$E$3:$E$32)</f>
        <v>0</v>
      </c>
      <c r="E4" s="4" t="n">
        <f aca="false">SUMIF(Marzo!$C$3:$C$32,$A4,Marzo!$E$3:$E$32)</f>
        <v>0</v>
      </c>
      <c r="F4" s="4" t="n">
        <f aca="false">SUMIF(Abril!$C$3:$C$32,$A4,Abril!$E$3:$E$32)</f>
        <v>0</v>
      </c>
      <c r="G4" s="4" t="n">
        <f aca="false">SUMIF(Mayo!$C$3:$C$32,$A4,Mayo!$E$3:$E$32)</f>
        <v>0</v>
      </c>
      <c r="H4" s="4" t="n">
        <f aca="false">SUMIF(Junio!$C$3:$C$32,$A4,Junio!$E$3:$E$32)</f>
        <v>0</v>
      </c>
      <c r="I4" s="4" t="n">
        <f aca="false">SUMIF(Julio!$C$3:$C$32,$A4,Julio!$E$3:$E$32)</f>
        <v>40</v>
      </c>
      <c r="J4" s="4" t="n">
        <f aca="false">SUMIF(Agosto!$C$3:$C$32,$A4,Agosto!$E$3:$E$32)</f>
        <v>0</v>
      </c>
      <c r="K4" s="4" t="n">
        <f aca="false">SUMIF(Septiembre!$C$3:$C$32,$A4,Septiembre!$E$3:$E$32)</f>
        <v>0</v>
      </c>
      <c r="L4" s="4" t="n">
        <f aca="false">SUMIF(Octubre!$C$3:$C$32,$A4,Octubre!$E$3:$E$32)</f>
        <v>0</v>
      </c>
      <c r="M4" s="4" t="n">
        <f aca="false">SUMIF(Noviembre!$C$3:$C$32,$A4,Noviembre!$E$3:$E$32)</f>
        <v>0</v>
      </c>
      <c r="N4" s="4" t="n">
        <f aca="false">SUMIF(Diciembre!$C$3:$C$32,$A4,Diciembre!$E$3:$E$32)</f>
        <v>0</v>
      </c>
      <c r="O4" s="5" t="n">
        <f aca="false">SUM(C4:N4)</f>
        <v>40</v>
      </c>
      <c r="P4" s="6" t="n">
        <f aca="false">IFERROR(O4/$O$20,0)</f>
        <v>0.0624551103894076</v>
      </c>
      <c r="Q4" s="3" t="s">
        <v>18</v>
      </c>
    </row>
    <row r="5" customFormat="false" ht="15" hidden="false" customHeight="true" outlineLevel="0" collapsed="false">
      <c r="A5" s="3" t="str">
        <f aca="false">Categorías!A4</f>
        <v>Salidas/Ocio</v>
      </c>
      <c r="B5" s="3" t="str">
        <f aca="false">Categorías!B4</f>
        <v>Ocio</v>
      </c>
      <c r="C5" s="4" t="n">
        <f aca="false">SUMIF(Enero!$C$3:$C$32,$A5,Enero!$E$3:$E$32)</f>
        <v>0</v>
      </c>
      <c r="D5" s="4" t="n">
        <f aca="false">SUMIF(Febrero!$C$3:$C$32,$A5,Febrero!$E$3:$E$32)</f>
        <v>0</v>
      </c>
      <c r="E5" s="4" t="n">
        <f aca="false">SUMIF(Marzo!$C$3:$C$32,$A5,Marzo!$E$3:$E$32)</f>
        <v>0</v>
      </c>
      <c r="F5" s="4" t="n">
        <f aca="false">SUMIF(Abril!$C$3:$C$32,$A5,Abril!$E$3:$E$32)</f>
        <v>0</v>
      </c>
      <c r="G5" s="4" t="n">
        <f aca="false">SUMIF(Mayo!$C$3:$C$32,$A5,Mayo!$E$3:$E$32)</f>
        <v>0</v>
      </c>
      <c r="H5" s="4" t="n">
        <f aca="false">SUMIF(Junio!$C$3:$C$32,$A5,Junio!$E$3:$E$32)</f>
        <v>0</v>
      </c>
      <c r="I5" s="4" t="n">
        <f aca="false">SUMIF(Julio!$C$3:$C$32,$A5,Julio!$E$3:$E$32)</f>
        <v>122.4</v>
      </c>
      <c r="J5" s="4" t="n">
        <f aca="false">SUMIF(Agosto!$C$3:$C$32,$A5,Agosto!$E$3:$E$32)</f>
        <v>25.25</v>
      </c>
      <c r="K5" s="4" t="n">
        <f aca="false">SUMIF(Septiembre!$C$3:$C$32,$A5,Septiembre!$E$3:$E$32)</f>
        <v>0</v>
      </c>
      <c r="L5" s="4" t="n">
        <f aca="false">SUMIF(Octubre!$C$3:$C$32,$A5,Octubre!$E$3:$E$32)</f>
        <v>0</v>
      </c>
      <c r="M5" s="4" t="n">
        <f aca="false">SUMIF(Noviembre!$C$3:$C$32,$A5,Noviembre!$E$3:$E$32)</f>
        <v>0</v>
      </c>
      <c r="N5" s="4" t="n">
        <f aca="false">SUMIF(Diciembre!$C$3:$C$32,$A5,Diciembre!$E$3:$E$32)</f>
        <v>0</v>
      </c>
      <c r="O5" s="5" t="n">
        <f aca="false">SUM(C5:N5)</f>
        <v>147.65</v>
      </c>
      <c r="P5" s="6" t="n">
        <f aca="false">IFERROR(O5/$O$20,0)</f>
        <v>0.230537426224901</v>
      </c>
      <c r="Q5" s="3" t="s">
        <v>19</v>
      </c>
    </row>
    <row r="6" customFormat="false" ht="15" hidden="false" customHeight="true" outlineLevel="0" collapsed="false">
      <c r="A6" s="3" t="str">
        <f aca="false">Categorías!A5</f>
        <v>Suscripciones ocio</v>
      </c>
      <c r="B6" s="3" t="str">
        <f aca="false">Categorías!B5</f>
        <v>Ocio</v>
      </c>
      <c r="C6" s="4" t="n">
        <f aca="false">SUMIF(Enero!$C$3:$C$32,$A6,Enero!$E$3:$E$32)</f>
        <v>0</v>
      </c>
      <c r="D6" s="4" t="n">
        <f aca="false">SUMIF(Febrero!$C$3:$C$32,$A6,Febrero!$E$3:$E$32)</f>
        <v>0</v>
      </c>
      <c r="E6" s="4" t="n">
        <f aca="false">SUMIF(Marzo!$C$3:$C$32,$A6,Marzo!$E$3:$E$32)</f>
        <v>0</v>
      </c>
      <c r="F6" s="4" t="n">
        <f aca="false">SUMIF(Abril!$C$3:$C$32,$A6,Abril!$E$3:$E$32)</f>
        <v>0</v>
      </c>
      <c r="G6" s="4" t="n">
        <f aca="false">SUMIF(Mayo!$C$3:$C$32,$A6,Mayo!$E$3:$E$32)</f>
        <v>0</v>
      </c>
      <c r="H6" s="4" t="n">
        <f aca="false">SUMIF(Junio!$C$3:$C$32,$A6,Junio!$E$3:$E$32)</f>
        <v>0</v>
      </c>
      <c r="I6" s="4" t="n">
        <f aca="false">SUMIF(Julio!$C$3:$C$32,$A6,Julio!$E$3:$E$32)</f>
        <v>8.5</v>
      </c>
      <c r="J6" s="4" t="n">
        <f aca="false">SUMIF(Agosto!$C$3:$C$32,$A6,Agosto!$E$3:$E$32)</f>
        <v>11</v>
      </c>
      <c r="K6" s="4" t="n">
        <f aca="false">SUMIF(Septiembre!$C$3:$C$32,$A6,Septiembre!$E$3:$E$32)</f>
        <v>0</v>
      </c>
      <c r="L6" s="4" t="n">
        <f aca="false">SUMIF(Octubre!$C$3:$C$32,$A6,Octubre!$E$3:$E$32)</f>
        <v>0</v>
      </c>
      <c r="M6" s="4" t="n">
        <f aca="false">SUMIF(Noviembre!$C$3:$C$32,$A6,Noviembre!$E$3:$E$32)</f>
        <v>0</v>
      </c>
      <c r="N6" s="4" t="n">
        <f aca="false">SUMIF(Diciembre!$C$3:$C$32,$A6,Diciembre!$E$3:$E$32)</f>
        <v>0</v>
      </c>
      <c r="O6" s="5" t="n">
        <f aca="false">SUM(C6:N6)</f>
        <v>19.5</v>
      </c>
      <c r="P6" s="6" t="n">
        <f aca="false">IFERROR(O6/$O$20,0)</f>
        <v>0.0304468663148362</v>
      </c>
      <c r="Q6" s="3" t="s">
        <v>20</v>
      </c>
    </row>
    <row r="7" customFormat="false" ht="15" hidden="false" customHeight="true" outlineLevel="0" collapsed="false">
      <c r="A7" s="3" t="str">
        <f aca="false">Categorías!A6</f>
        <v>Viajes</v>
      </c>
      <c r="B7" s="3" t="str">
        <f aca="false">Categorías!B6</f>
        <v>Ocio</v>
      </c>
      <c r="C7" s="4" t="n">
        <f aca="false">SUMIF(Enero!$C$3:$C$32,$A7,Enero!$E$3:$E$32)</f>
        <v>0</v>
      </c>
      <c r="D7" s="4" t="n">
        <f aca="false">SUMIF(Febrero!$C$3:$C$32,$A7,Febrero!$E$3:$E$32)</f>
        <v>0</v>
      </c>
      <c r="E7" s="4" t="n">
        <f aca="false">SUMIF(Marzo!$C$3:$C$32,$A7,Marzo!$E$3:$E$32)</f>
        <v>0</v>
      </c>
      <c r="F7" s="4" t="n">
        <f aca="false">SUMIF(Abril!$C$3:$C$32,$A7,Abril!$E$3:$E$32)</f>
        <v>0</v>
      </c>
      <c r="G7" s="4" t="n">
        <f aca="false">SUMIF(Mayo!$C$3:$C$32,$A7,Mayo!$E$3:$E$32)</f>
        <v>0</v>
      </c>
      <c r="H7" s="4" t="n">
        <f aca="false">SUMIF(Junio!$C$3:$C$32,$A7,Junio!$E$3:$E$32)</f>
        <v>0</v>
      </c>
      <c r="I7" s="4" t="n">
        <f aca="false">SUMIF(Julio!$C$3:$C$32,$A7,Julio!$E$3:$E$32)</f>
        <v>0</v>
      </c>
      <c r="J7" s="4" t="n">
        <f aca="false">SUMIF(Agosto!$C$3:$C$32,$A7,Agosto!$E$3:$E$32)</f>
        <v>0</v>
      </c>
      <c r="K7" s="4" t="n">
        <f aca="false">SUMIF(Septiembre!$C$3:$C$32,$A7,Septiembre!$E$3:$E$32)</f>
        <v>0</v>
      </c>
      <c r="L7" s="4" t="n">
        <f aca="false">SUMIF(Octubre!$C$3:$C$32,$A7,Octubre!$E$3:$E$32)</f>
        <v>0</v>
      </c>
      <c r="M7" s="4" t="n">
        <f aca="false">SUMIF(Noviembre!$C$3:$C$32,$A7,Noviembre!$E$3:$E$32)</f>
        <v>0</v>
      </c>
      <c r="N7" s="4" t="n">
        <f aca="false">SUMIF(Diciembre!$C$3:$C$32,$A7,Diciembre!$E$3:$E$32)</f>
        <v>0</v>
      </c>
      <c r="O7" s="5" t="n">
        <f aca="false">SUM(C7:N7)</f>
        <v>0</v>
      </c>
      <c r="P7" s="6" t="n">
        <f aca="false">IFERROR(O7/$O$20,0)</f>
        <v>0</v>
      </c>
      <c r="Q7" s="3" t="s">
        <v>21</v>
      </c>
    </row>
    <row r="8" customFormat="false" ht="15" hidden="false" customHeight="true" outlineLevel="0" collapsed="false">
      <c r="A8" s="3" t="str">
        <f aca="false">Categorías!A7</f>
        <v>Padel</v>
      </c>
      <c r="B8" s="3" t="str">
        <f aca="false">Categorías!B7</f>
        <v>Ocio</v>
      </c>
      <c r="C8" s="4" t="n">
        <f aca="false">SUMIF(Enero!$C$3:$C$32,$A8,Enero!$E$3:$E$32)</f>
        <v>0</v>
      </c>
      <c r="D8" s="4" t="n">
        <f aca="false">SUMIF(Febrero!$C$3:$C$32,$A8,Febrero!$E$3:$E$32)</f>
        <v>0</v>
      </c>
      <c r="E8" s="4" t="n">
        <f aca="false">SUMIF(Marzo!$C$3:$C$32,$A8,Marzo!$E$3:$E$32)</f>
        <v>0</v>
      </c>
      <c r="F8" s="4" t="n">
        <f aca="false">SUMIF(Abril!$C$3:$C$32,$A8,Abril!$E$3:$E$32)</f>
        <v>0</v>
      </c>
      <c r="G8" s="4" t="n">
        <f aca="false">SUMIF(Mayo!$C$3:$C$32,$A8,Mayo!$E$3:$E$32)</f>
        <v>0</v>
      </c>
      <c r="H8" s="4" t="n">
        <f aca="false">SUMIF(Junio!$C$3:$C$32,$A8,Junio!$E$3:$E$32)</f>
        <v>0</v>
      </c>
      <c r="I8" s="4" t="n">
        <f aca="false">SUMIF(Julio!$C$3:$C$32,$A8,Julio!$E$3:$E$32)</f>
        <v>15.96</v>
      </c>
      <c r="J8" s="4" t="n">
        <f aca="false">SUMIF(Agosto!$C$3:$C$32,$A8,Agosto!$E$3:$E$32)</f>
        <v>12.3</v>
      </c>
      <c r="K8" s="4" t="n">
        <f aca="false">SUMIF(Septiembre!$C$3:$C$32,$A8,Septiembre!$E$3:$E$32)</f>
        <v>0</v>
      </c>
      <c r="L8" s="4" t="n">
        <f aca="false">SUMIF(Octubre!$C$3:$C$32,$A8,Octubre!$E$3:$E$32)</f>
        <v>0</v>
      </c>
      <c r="M8" s="4" t="n">
        <f aca="false">SUMIF(Noviembre!$C$3:$C$32,$A8,Noviembre!$E$3:$E$32)</f>
        <v>0</v>
      </c>
      <c r="N8" s="4" t="n">
        <f aca="false">SUMIF(Diciembre!$C$3:$C$32,$A8,Diciembre!$E$3:$E$32)</f>
        <v>0</v>
      </c>
      <c r="O8" s="5" t="n">
        <f aca="false">SUM(C8:N8)</f>
        <v>28.26</v>
      </c>
      <c r="P8" s="6" t="n">
        <f aca="false">IFERROR(O8/$O$20,0)</f>
        <v>0.0441245354901165</v>
      </c>
      <c r="Q8" s="3" t="s">
        <v>22</v>
      </c>
    </row>
    <row r="9" customFormat="false" ht="15" hidden="false" customHeight="true" outlineLevel="0" collapsed="false">
      <c r="A9" s="3" t="str">
        <f aca="false">Categorías!A8</f>
        <v>Alimentación</v>
      </c>
      <c r="B9" s="3" t="str">
        <f aca="false">Categorías!B8</f>
        <v>Ocio</v>
      </c>
      <c r="C9" s="4" t="n">
        <f aca="false">SUMIF(Enero!$C$3:$C$32,$A9,Enero!$E$3:$E$32)</f>
        <v>0</v>
      </c>
      <c r="D9" s="4" t="n">
        <f aca="false">SUMIF(Febrero!$C$3:$C$32,$A9,Febrero!$E$3:$E$32)</f>
        <v>0</v>
      </c>
      <c r="E9" s="4" t="n">
        <f aca="false">SUMIF(Marzo!$C$3:$C$32,$A9,Marzo!$E$3:$E$32)</f>
        <v>0</v>
      </c>
      <c r="F9" s="4" t="n">
        <f aca="false">SUMIF(Abril!$C$3:$C$32,$A9,Abril!$E$3:$E$32)</f>
        <v>0</v>
      </c>
      <c r="G9" s="4" t="n">
        <f aca="false">SUMIF(Mayo!$C$3:$C$32,$A9,Mayo!$E$3:$E$32)</f>
        <v>0</v>
      </c>
      <c r="H9" s="4" t="n">
        <f aca="false">SUMIF(Junio!$C$3:$C$32,$A9,Junio!$E$3:$E$32)</f>
        <v>0</v>
      </c>
      <c r="I9" s="4" t="n">
        <f aca="false">SUMIF(Julio!$C$3:$C$32,$A9,Julio!$E$3:$E$32)</f>
        <v>14.8</v>
      </c>
      <c r="J9" s="4" t="n">
        <f aca="false">SUMIF(Agosto!$C$3:$C$32,$A9,Agosto!$E$3:$E$32)</f>
        <v>21.6</v>
      </c>
      <c r="K9" s="4" t="n">
        <f aca="false">SUMIF(Septiembre!$C$3:$C$32,$A9,Septiembre!$E$3:$E$32)</f>
        <v>0</v>
      </c>
      <c r="L9" s="4" t="n">
        <f aca="false">SUMIF(Octubre!$C$3:$C$32,$A9,Octubre!$E$3:$E$32)</f>
        <v>0</v>
      </c>
      <c r="M9" s="4" t="n">
        <f aca="false">SUMIF(Noviembre!$C$3:$C$32,$A9,Noviembre!$E$3:$E$32)</f>
        <v>0</v>
      </c>
      <c r="N9" s="4" t="n">
        <f aca="false">SUMIF(Diciembre!$C$3:$C$32,$A9,Diciembre!$E$3:$E$32)</f>
        <v>0</v>
      </c>
      <c r="O9" s="5" t="n">
        <f aca="false">SUM(C9:N9)</f>
        <v>36.4</v>
      </c>
      <c r="P9" s="6" t="n">
        <f aca="false">IFERROR(O9/$O$20,0)</f>
        <v>0.0568341504543609</v>
      </c>
      <c r="Q9" s="3" t="s">
        <v>23</v>
      </c>
    </row>
    <row r="10" customFormat="false" ht="15" hidden="false" customHeight="true" outlineLevel="0" collapsed="false">
      <c r="A10" s="3" t="str">
        <f aca="false">Categorías!A9</f>
        <v>Barça</v>
      </c>
      <c r="B10" s="3" t="str">
        <f aca="false">Categorías!B9</f>
        <v>Ocio</v>
      </c>
      <c r="C10" s="4" t="n">
        <f aca="false">SUMIF(Enero!$C$3:$C$32,$A10,Enero!$E$3:$E$32)</f>
        <v>0</v>
      </c>
      <c r="D10" s="4" t="n">
        <f aca="false">SUMIF(Febrero!$C$3:$C$32,$A10,Febrero!$E$3:$E$32)</f>
        <v>0</v>
      </c>
      <c r="E10" s="4" t="n">
        <f aca="false">SUMIF(Marzo!$C$3:$C$32,$A10,Marzo!$E$3:$E$32)</f>
        <v>0</v>
      </c>
      <c r="F10" s="4" t="n">
        <f aca="false">SUMIF(Abril!$C$3:$C$32,$A10,Abril!$E$3:$E$32)</f>
        <v>0</v>
      </c>
      <c r="G10" s="4" t="n">
        <f aca="false">SUMIF(Mayo!$C$3:$C$32,$A10,Mayo!$E$3:$E$32)</f>
        <v>0</v>
      </c>
      <c r="H10" s="4" t="n">
        <f aca="false">SUMIF(Junio!$C$3:$C$32,$A10,Junio!$E$3:$E$32)</f>
        <v>0</v>
      </c>
      <c r="I10" s="4" t="n">
        <f aca="false">SUMIF(Julio!$C$3:$C$32,$A10,Julio!$E$3:$E$32)</f>
        <v>0</v>
      </c>
      <c r="J10" s="4" t="n">
        <f aca="false">SUMIF(Agosto!$C$3:$C$32,$A10,Agosto!$E$3:$E$32)</f>
        <v>0</v>
      </c>
      <c r="K10" s="4" t="n">
        <f aca="false">SUMIF(Septiembre!$C$3:$C$32,$A10,Septiembre!$E$3:$E$32)</f>
        <v>0</v>
      </c>
      <c r="L10" s="4" t="n">
        <f aca="false">SUMIF(Octubre!$C$3:$C$32,$A10,Octubre!$E$3:$E$32)</f>
        <v>0</v>
      </c>
      <c r="M10" s="4" t="n">
        <f aca="false">SUMIF(Noviembre!$C$3:$C$32,$A10,Noviembre!$E$3:$E$32)</f>
        <v>0</v>
      </c>
      <c r="N10" s="4" t="n">
        <f aca="false">SUMIF(Diciembre!$C$3:$C$32,$A10,Diciembre!$E$3:$E$32)</f>
        <v>0</v>
      </c>
      <c r="O10" s="5" t="n">
        <f aca="false">SUM(C10:N10)</f>
        <v>0</v>
      </c>
      <c r="P10" s="6" t="n">
        <f aca="false">IFERROR(O10/$O$20,0)</f>
        <v>0</v>
      </c>
      <c r="Q10" s="3" t="s">
        <v>24</v>
      </c>
    </row>
    <row r="11" customFormat="false" ht="15" hidden="false" customHeight="true" outlineLevel="0" collapsed="false">
      <c r="A11" s="3" t="str">
        <f aca="false">Categorías!A10</f>
        <v>Vivienda/Alquiler</v>
      </c>
      <c r="B11" s="3" t="str">
        <f aca="false">Categorías!B10</f>
        <v>Ordinario</v>
      </c>
      <c r="C11" s="4" t="n">
        <f aca="false">SUMIF(Enero!$C$3:$C$32,$A11,Enero!$E$3:$E$32)</f>
        <v>0</v>
      </c>
      <c r="D11" s="4" t="n">
        <f aca="false">SUMIF(Febrero!$C$3:$C$32,$A11,Febrero!$E$3:$E$32)</f>
        <v>0</v>
      </c>
      <c r="E11" s="4" t="n">
        <f aca="false">SUMIF(Marzo!$C$3:$C$32,$A11,Marzo!$E$3:$E$32)</f>
        <v>0</v>
      </c>
      <c r="F11" s="4" t="n">
        <f aca="false">SUMIF(Abril!$C$3:$C$32,$A11,Abril!$E$3:$E$32)</f>
        <v>0</v>
      </c>
      <c r="G11" s="4" t="n">
        <f aca="false">SUMIF(Mayo!$C$3:$C$32,$A11,Mayo!$E$3:$E$32)</f>
        <v>0</v>
      </c>
      <c r="H11" s="4" t="n">
        <f aca="false">SUMIF(Junio!$C$3:$C$32,$A11,Junio!$E$3:$E$32)</f>
        <v>0</v>
      </c>
      <c r="I11" s="4" t="n">
        <f aca="false">SUMIF(Julio!$C$3:$C$32,$A11,Julio!$E$3:$E$32)</f>
        <v>0</v>
      </c>
      <c r="J11" s="4" t="n">
        <f aca="false">SUMIF(Agosto!$C$3:$C$32,$A11,Agosto!$E$3:$E$32)</f>
        <v>0</v>
      </c>
      <c r="K11" s="4" t="n">
        <f aca="false">SUMIF(Septiembre!$C$3:$C$32,$A11,Septiembre!$E$3:$E$32)</f>
        <v>0</v>
      </c>
      <c r="L11" s="4" t="n">
        <f aca="false">SUMIF(Octubre!$C$3:$C$32,$A11,Octubre!$E$3:$E$32)</f>
        <v>0</v>
      </c>
      <c r="M11" s="4" t="n">
        <f aca="false">SUMIF(Noviembre!$C$3:$C$32,$A11,Noviembre!$E$3:$E$32)</f>
        <v>0</v>
      </c>
      <c r="N11" s="4" t="n">
        <f aca="false">SUMIF(Diciembre!$C$3:$C$32,$A11,Diciembre!$E$3:$E$32)</f>
        <v>0</v>
      </c>
      <c r="O11" s="5" t="n">
        <f aca="false">SUM(C11:N11)</f>
        <v>0</v>
      </c>
      <c r="P11" s="6" t="n">
        <f aca="false">IFERROR(O11/$O$20,0)</f>
        <v>0</v>
      </c>
      <c r="Q11" s="3" t="s">
        <v>25</v>
      </c>
    </row>
    <row r="12" customFormat="false" ht="15" hidden="false" customHeight="true" outlineLevel="0" collapsed="false">
      <c r="A12" s="3" t="str">
        <f aca="false">Categorías!A11</f>
        <v>Transporte</v>
      </c>
      <c r="B12" s="3" t="str">
        <f aca="false">Categorías!B11</f>
        <v>Ordinario</v>
      </c>
      <c r="C12" s="4" t="n">
        <f aca="false">SUMIF(Enero!$C$3:$C$32,$A12,Enero!$E$3:$E$32)</f>
        <v>0</v>
      </c>
      <c r="D12" s="4" t="n">
        <f aca="false">SUMIF(Febrero!$C$3:$C$32,$A12,Febrero!$E$3:$E$32)</f>
        <v>0</v>
      </c>
      <c r="E12" s="4" t="n">
        <f aca="false">SUMIF(Marzo!$C$3:$C$32,$A12,Marzo!$E$3:$E$32)</f>
        <v>0</v>
      </c>
      <c r="F12" s="4" t="n">
        <f aca="false">SUMIF(Abril!$C$3:$C$32,$A12,Abril!$E$3:$E$32)</f>
        <v>0</v>
      </c>
      <c r="G12" s="4" t="n">
        <f aca="false">SUMIF(Mayo!$C$3:$C$32,$A12,Mayo!$E$3:$E$32)</f>
        <v>0</v>
      </c>
      <c r="H12" s="4" t="n">
        <f aca="false">SUMIF(Junio!$C$3:$C$32,$A12,Junio!$E$3:$E$32)</f>
        <v>0</v>
      </c>
      <c r="I12" s="4" t="n">
        <f aca="false">SUMIF(Julio!$C$3:$C$32,$A12,Julio!$E$3:$E$32)</f>
        <v>0</v>
      </c>
      <c r="J12" s="4" t="n">
        <f aca="false">SUMIF(Agosto!$C$3:$C$32,$A12,Agosto!$E$3:$E$32)</f>
        <v>0</v>
      </c>
      <c r="K12" s="4" t="n">
        <f aca="false">SUMIF(Septiembre!$C$3:$C$32,$A12,Septiembre!$E$3:$E$32)</f>
        <v>0</v>
      </c>
      <c r="L12" s="4" t="n">
        <f aca="false">SUMIF(Octubre!$C$3:$C$32,$A12,Octubre!$E$3:$E$32)</f>
        <v>0</v>
      </c>
      <c r="M12" s="4" t="n">
        <f aca="false">SUMIF(Noviembre!$C$3:$C$32,$A12,Noviembre!$E$3:$E$32)</f>
        <v>0</v>
      </c>
      <c r="N12" s="4" t="n">
        <f aca="false">SUMIF(Diciembre!$C$3:$C$32,$A12,Diciembre!$E$3:$E$32)</f>
        <v>0</v>
      </c>
      <c r="O12" s="5" t="n">
        <f aca="false">SUM(C12:N12)</f>
        <v>0</v>
      </c>
      <c r="P12" s="6" t="n">
        <f aca="false">IFERROR(O12/$O$20,0)</f>
        <v>0</v>
      </c>
      <c r="Q12" s="3" t="s">
        <v>26</v>
      </c>
    </row>
    <row r="13" customFormat="false" ht="15" hidden="false" customHeight="true" outlineLevel="0" collapsed="false">
      <c r="A13" s="3" t="str">
        <f aca="false">Categorías!A12</f>
        <v>Salud</v>
      </c>
      <c r="B13" s="3" t="str">
        <f aca="false">Categorías!B12</f>
        <v>Ordinario</v>
      </c>
      <c r="C13" s="4" t="n">
        <f aca="false">SUMIF(Enero!$C$3:$C$32,$A13,Enero!$E$3:$E$32)</f>
        <v>0</v>
      </c>
      <c r="D13" s="4" t="n">
        <f aca="false">SUMIF(Febrero!$C$3:$C$32,$A13,Febrero!$E$3:$E$32)</f>
        <v>0</v>
      </c>
      <c r="E13" s="4" t="n">
        <f aca="false">SUMIF(Marzo!$C$3:$C$32,$A13,Marzo!$E$3:$E$32)</f>
        <v>0</v>
      </c>
      <c r="F13" s="4" t="n">
        <f aca="false">SUMIF(Abril!$C$3:$C$32,$A13,Abril!$E$3:$E$32)</f>
        <v>0</v>
      </c>
      <c r="G13" s="4" t="n">
        <f aca="false">SUMIF(Mayo!$C$3:$C$32,$A13,Mayo!$E$3:$E$32)</f>
        <v>0</v>
      </c>
      <c r="H13" s="4" t="n">
        <f aca="false">SUMIF(Junio!$C$3:$C$32,$A13,Junio!$E$3:$E$32)</f>
        <v>0</v>
      </c>
      <c r="I13" s="4" t="n">
        <f aca="false">SUMIF(Julio!$C$3:$C$32,$A13,Julio!$E$3:$E$32)</f>
        <v>0</v>
      </c>
      <c r="J13" s="4" t="n">
        <f aca="false">SUMIF(Agosto!$C$3:$C$32,$A13,Agosto!$E$3:$E$32)</f>
        <v>0</v>
      </c>
      <c r="K13" s="4" t="n">
        <f aca="false">SUMIF(Septiembre!$C$3:$C$32,$A13,Septiembre!$E$3:$E$32)</f>
        <v>0</v>
      </c>
      <c r="L13" s="4" t="n">
        <f aca="false">SUMIF(Octubre!$C$3:$C$32,$A13,Octubre!$E$3:$E$32)</f>
        <v>0</v>
      </c>
      <c r="M13" s="4" t="n">
        <f aca="false">SUMIF(Noviembre!$C$3:$C$32,$A13,Noviembre!$E$3:$E$32)</f>
        <v>0</v>
      </c>
      <c r="N13" s="4" t="n">
        <f aca="false">SUMIF(Diciembre!$C$3:$C$32,$A13,Diciembre!$E$3:$E$32)</f>
        <v>0</v>
      </c>
      <c r="O13" s="5" t="n">
        <f aca="false">SUM(C13:N13)</f>
        <v>0</v>
      </c>
      <c r="P13" s="6" t="n">
        <f aca="false">IFERROR(O13/$O$20,0)</f>
        <v>0</v>
      </c>
      <c r="Q13" s="3" t="s">
        <v>27</v>
      </c>
    </row>
    <row r="14" customFormat="false" ht="15" hidden="false" customHeight="true" outlineLevel="0" collapsed="false">
      <c r="A14" s="3" t="str">
        <f aca="false">Categorías!A13</f>
        <v>Barbero</v>
      </c>
      <c r="B14" s="3" t="str">
        <f aca="false">Categorías!B13</f>
        <v>Ordinario</v>
      </c>
      <c r="C14" s="4" t="n">
        <f aca="false">SUMIF(Enero!$C$3:$C$32,$A14,Enero!$E$3:$E$32)</f>
        <v>0</v>
      </c>
      <c r="D14" s="4" t="n">
        <f aca="false">SUMIF(Febrero!$C$3:$C$32,$A14,Febrero!$E$3:$E$32)</f>
        <v>0</v>
      </c>
      <c r="E14" s="4" t="n">
        <f aca="false">SUMIF(Marzo!$C$3:$C$32,$A14,Marzo!$E$3:$E$32)</f>
        <v>0</v>
      </c>
      <c r="F14" s="4" t="n">
        <f aca="false">SUMIF(Abril!$C$3:$C$32,$A14,Abril!$E$3:$E$32)</f>
        <v>0</v>
      </c>
      <c r="G14" s="4" t="n">
        <f aca="false">SUMIF(Mayo!$C$3:$C$32,$A14,Mayo!$E$3:$E$32)</f>
        <v>0</v>
      </c>
      <c r="H14" s="4" t="n">
        <f aca="false">SUMIF(Junio!$C$3:$C$32,$A14,Junio!$E$3:$E$32)</f>
        <v>0</v>
      </c>
      <c r="I14" s="4" t="n">
        <f aca="false">SUMIF(Julio!$C$3:$C$32,$A14,Julio!$E$3:$E$32)</f>
        <v>15</v>
      </c>
      <c r="J14" s="4" t="n">
        <f aca="false">SUMIF(Agosto!$C$3:$C$32,$A14,Agosto!$E$3:$E$32)</f>
        <v>0</v>
      </c>
      <c r="K14" s="4" t="n">
        <f aca="false">SUMIF(Septiembre!$C$3:$C$32,$A14,Septiembre!$E$3:$E$32)</f>
        <v>0</v>
      </c>
      <c r="L14" s="4" t="n">
        <f aca="false">SUMIF(Octubre!$C$3:$C$32,$A14,Octubre!$E$3:$E$32)</f>
        <v>0</v>
      </c>
      <c r="M14" s="4" t="n">
        <f aca="false">SUMIF(Noviembre!$C$3:$C$32,$A14,Noviembre!$E$3:$E$32)</f>
        <v>0</v>
      </c>
      <c r="N14" s="4" t="n">
        <f aca="false">SUMIF(Diciembre!$C$3:$C$32,$A14,Diciembre!$E$3:$E$32)</f>
        <v>0</v>
      </c>
      <c r="O14" s="5" t="n">
        <f aca="false">SUM(C14:N14)</f>
        <v>15</v>
      </c>
      <c r="P14" s="6" t="n">
        <f aca="false">IFERROR(O14/$O$20,0)</f>
        <v>0.0234206663960279</v>
      </c>
      <c r="Q14" s="3" t="s">
        <v>28</v>
      </c>
    </row>
    <row r="15" customFormat="false" ht="15" hidden="false" customHeight="true" outlineLevel="0" collapsed="false">
      <c r="A15" s="3" t="str">
        <f aca="false">Categorías!A14</f>
        <v>Otros</v>
      </c>
      <c r="B15" s="3" t="str">
        <f aca="false">Categorías!B14</f>
        <v>Ordinario</v>
      </c>
      <c r="C15" s="4" t="n">
        <f aca="false">SUMIF(Enero!$C$3:$C$32,$A15,Enero!$E$3:$E$32)</f>
        <v>0</v>
      </c>
      <c r="D15" s="4" t="n">
        <f aca="false">SUMIF(Febrero!$C$3:$C$32,$A15,Febrero!$E$3:$E$32)</f>
        <v>0</v>
      </c>
      <c r="E15" s="4" t="n">
        <f aca="false">SUMIF(Marzo!$C$3:$C$32,$A15,Marzo!$E$3:$E$32)</f>
        <v>0</v>
      </c>
      <c r="F15" s="4" t="n">
        <f aca="false">SUMIF(Abril!$C$3:$C$32,$A15,Abril!$E$3:$E$32)</f>
        <v>0</v>
      </c>
      <c r="G15" s="4" t="n">
        <f aca="false">SUMIF(Mayo!$C$3:$C$32,$A15,Mayo!$E$3:$E$32)</f>
        <v>0</v>
      </c>
      <c r="H15" s="4" t="n">
        <f aca="false">SUMIF(Junio!$C$3:$C$32,$A15,Junio!$E$3:$E$32)</f>
        <v>0</v>
      </c>
      <c r="I15" s="4" t="n">
        <f aca="false">SUMIF(Julio!$C$3:$C$32,$A15,Julio!$E$3:$E$32)</f>
        <v>0</v>
      </c>
      <c r="J15" s="4" t="n">
        <f aca="false">SUMIF(Agosto!$C$3:$C$32,$A15,Agosto!$E$3:$E$32)</f>
        <v>0</v>
      </c>
      <c r="K15" s="4" t="n">
        <f aca="false">SUMIF(Septiembre!$C$3:$C$32,$A15,Septiembre!$E$3:$E$32)</f>
        <v>0</v>
      </c>
      <c r="L15" s="4" t="n">
        <f aca="false">SUMIF(Octubre!$C$3:$C$32,$A15,Octubre!$E$3:$E$32)</f>
        <v>0</v>
      </c>
      <c r="M15" s="4" t="n">
        <f aca="false">SUMIF(Noviembre!$C$3:$C$32,$A15,Noviembre!$E$3:$E$32)</f>
        <v>0</v>
      </c>
      <c r="N15" s="4" t="n">
        <f aca="false">SUMIF(Diciembre!$C$3:$C$32,$A15,Diciembre!$E$3:$E$32)</f>
        <v>0</v>
      </c>
      <c r="O15" s="5" t="n">
        <f aca="false">SUM(C15:N15)</f>
        <v>0</v>
      </c>
      <c r="P15" s="6" t="n">
        <f aca="false">IFERROR(O15/$O$20,0)</f>
        <v>0</v>
      </c>
      <c r="Q15" s="3" t="s">
        <v>29</v>
      </c>
    </row>
    <row r="16" customFormat="false" ht="15" hidden="false" customHeight="true" outlineLevel="0" collapsed="false">
      <c r="A16" s="3" t="str">
        <f aca="false">Categorías!A15</f>
        <v>Burocracia</v>
      </c>
      <c r="B16" s="3" t="str">
        <f aca="false">Categorías!B15</f>
        <v>Extraordinario</v>
      </c>
      <c r="C16" s="4" t="n">
        <f aca="false">SUMIF(Enero!$C$3:$C$32,$A16,Enero!$E$3:$E$32)</f>
        <v>0</v>
      </c>
      <c r="D16" s="4" t="n">
        <f aca="false">SUMIF(Febrero!$C$3:$C$32,$A16,Febrero!$E$3:$E$32)</f>
        <v>0</v>
      </c>
      <c r="E16" s="4" t="n">
        <f aca="false">SUMIF(Marzo!$C$3:$C$32,$A16,Marzo!$E$3:$E$32)</f>
        <v>0</v>
      </c>
      <c r="F16" s="4" t="n">
        <f aca="false">SUMIF(Abril!$C$3:$C$32,$A16,Abril!$E$3:$E$32)</f>
        <v>0</v>
      </c>
      <c r="G16" s="4" t="n">
        <f aca="false">SUMIF(Mayo!$C$3:$C$32,$A16,Mayo!$E$3:$E$32)</f>
        <v>0</v>
      </c>
      <c r="H16" s="4" t="n">
        <f aca="false">SUMIF(Junio!$C$3:$C$32,$A16,Junio!$E$3:$E$32)</f>
        <v>0</v>
      </c>
      <c r="I16" s="4" t="n">
        <f aca="false">SUMIF(Julio!$C$3:$C$32,$A16,Julio!$E$3:$E$32)</f>
        <v>237.3</v>
      </c>
      <c r="J16" s="4" t="n">
        <f aca="false">SUMIF(Agosto!$C$3:$C$32,$A16,Agosto!$E$3:$E$32)</f>
        <v>0</v>
      </c>
      <c r="K16" s="4" t="n">
        <f aca="false">SUMIF(Septiembre!$C$3:$C$32,$A16,Septiembre!$E$3:$E$32)</f>
        <v>0</v>
      </c>
      <c r="L16" s="4" t="n">
        <f aca="false">SUMIF(Octubre!$C$3:$C$32,$A16,Octubre!$E$3:$E$32)</f>
        <v>0</v>
      </c>
      <c r="M16" s="4" t="n">
        <f aca="false">SUMIF(Noviembre!$C$3:$C$32,$A16,Noviembre!$E$3:$E$32)</f>
        <v>0</v>
      </c>
      <c r="N16" s="4" t="n">
        <f aca="false">SUMIF(Diciembre!$C$3:$C$32,$A16,Diciembre!$E$3:$E$32)</f>
        <v>0</v>
      </c>
      <c r="O16" s="5" t="n">
        <f aca="false">SUM(C16:N16)</f>
        <v>237.3</v>
      </c>
      <c r="P16" s="6" t="n">
        <f aca="false">IFERROR(O16/$O$20,0)</f>
        <v>0.370514942385161</v>
      </c>
      <c r="Q16" s="3" t="s">
        <v>30</v>
      </c>
    </row>
    <row r="17" customFormat="false" ht="15" hidden="false" customHeight="true" outlineLevel="0" collapsed="false">
      <c r="A17" s="3" t="str">
        <f aca="false">Categorías!A16</f>
        <v>Regalos</v>
      </c>
      <c r="B17" s="3" t="str">
        <f aca="false">Categorías!B16</f>
        <v>Extraordinario</v>
      </c>
      <c r="C17" s="4" t="n">
        <f aca="false">SUMIF(Enero!$C$3:$C$32,$A17,Enero!$E$3:$E$32)</f>
        <v>0</v>
      </c>
      <c r="D17" s="4" t="n">
        <f aca="false">SUMIF(Febrero!$C$3:$C$32,$A17,Febrero!$E$3:$E$32)</f>
        <v>0</v>
      </c>
      <c r="E17" s="4" t="n">
        <f aca="false">SUMIF(Marzo!$C$3:$C$32,$A17,Marzo!$E$3:$E$32)</f>
        <v>0</v>
      </c>
      <c r="F17" s="4" t="n">
        <f aca="false">SUMIF(Abril!$C$3:$C$32,$A17,Abril!$E$3:$E$32)</f>
        <v>0</v>
      </c>
      <c r="G17" s="4" t="n">
        <f aca="false">SUMIF(Mayo!$C$3:$C$32,$A17,Mayo!$E$3:$E$32)</f>
        <v>0</v>
      </c>
      <c r="H17" s="4" t="n">
        <f aca="false">SUMIF(Junio!$C$3:$C$32,$A17,Junio!$E$3:$E$32)</f>
        <v>0</v>
      </c>
      <c r="I17" s="4" t="n">
        <f aca="false">SUMIF(Julio!$C$3:$C$32,$A17,Julio!$E$3:$E$32)</f>
        <v>20</v>
      </c>
      <c r="J17" s="4" t="n">
        <f aca="false">SUMIF(Agosto!$C$3:$C$32,$A17,Agosto!$E$3:$E$32)</f>
        <v>6.35</v>
      </c>
      <c r="K17" s="4" t="n">
        <f aca="false">SUMIF(Septiembre!$C$3:$C$32,$A17,Septiembre!$E$3:$E$32)</f>
        <v>0</v>
      </c>
      <c r="L17" s="4" t="n">
        <f aca="false">SUMIF(Octubre!$C$3:$C$32,$A17,Octubre!$E$3:$E$32)</f>
        <v>0</v>
      </c>
      <c r="M17" s="4" t="n">
        <f aca="false">SUMIF(Noviembre!$C$3:$C$32,$A17,Noviembre!$E$3:$E$32)</f>
        <v>0</v>
      </c>
      <c r="N17" s="4" t="n">
        <f aca="false">SUMIF(Diciembre!$C$3:$C$32,$A17,Diciembre!$E$3:$E$32)</f>
        <v>0</v>
      </c>
      <c r="O17" s="5" t="n">
        <f aca="false">SUM(C17:N17)</f>
        <v>26.35</v>
      </c>
      <c r="P17" s="6" t="n">
        <f aca="false">IFERROR(O17/$O$20,0)</f>
        <v>0.0411423039690223</v>
      </c>
      <c r="Q17" s="3" t="s">
        <v>31</v>
      </c>
    </row>
    <row r="18" customFormat="false" ht="15" hidden="false" customHeight="false" outlineLevel="0" collapsed="false">
      <c r="A18" s="3" t="str">
        <f aca="false">Categorías!A17</f>
        <v>Multas</v>
      </c>
      <c r="B18" s="3" t="str">
        <f aca="false">Categorías!B17</f>
        <v>Extraordinario</v>
      </c>
      <c r="C18" s="4" t="n">
        <f aca="false">SUMIF(Enero!$C$3:$C$32,$A18,Enero!$E$3:$E$32)</f>
        <v>0</v>
      </c>
      <c r="D18" s="4" t="n">
        <f aca="false">SUMIF(Febrero!$C$3:$C$32,$A18,Febrero!$E$3:$E$32)</f>
        <v>0</v>
      </c>
      <c r="E18" s="4" t="n">
        <f aca="false">SUMIF(Marzo!$C$3:$C$32,$A18,Marzo!$E$3:$E$32)</f>
        <v>0</v>
      </c>
      <c r="F18" s="4" t="n">
        <f aca="false">SUMIF(Abril!$C$3:$C$32,$A18,Abril!$E$3:$E$32)</f>
        <v>0</v>
      </c>
      <c r="G18" s="4" t="n">
        <f aca="false">SUMIF(Mayo!$C$3:$C$32,$A18,Mayo!$E$3:$E$32)</f>
        <v>0</v>
      </c>
      <c r="H18" s="4" t="n">
        <f aca="false">SUMIF(Junio!$C$3:$C$32,$A18,Junio!$E$3:$E$32)</f>
        <v>0</v>
      </c>
      <c r="I18" s="4" t="n">
        <f aca="false">SUMIF(Julio!$C$3:$C$32,$A18,Julio!$E$3:$E$32)</f>
        <v>50</v>
      </c>
      <c r="J18" s="4" t="n">
        <f aca="false">SUMIF(Agosto!$C$3:$C$32,$A18,Agosto!$E$3:$E$32)</f>
        <v>0</v>
      </c>
      <c r="K18" s="4" t="n">
        <f aca="false">SUMIF(Septiembre!$C$3:$C$32,$A18,Septiembre!$E$3:$E$32)</f>
        <v>0</v>
      </c>
      <c r="L18" s="4" t="n">
        <f aca="false">SUMIF(Octubre!$C$3:$C$32,$A18,Octubre!$E$3:$E$32)</f>
        <v>0</v>
      </c>
      <c r="M18" s="4" t="n">
        <f aca="false">SUMIF(Noviembre!$C$3:$C$32,$A18,Noviembre!$E$3:$E$32)</f>
        <v>0</v>
      </c>
      <c r="N18" s="4" t="n">
        <f aca="false">SUMIF(Diciembre!$C$3:$C$32,$A18,Diciembre!$E$3:$E$32)</f>
        <v>0</v>
      </c>
      <c r="O18" s="5" t="n">
        <f aca="false">SUM(C18:N18)</f>
        <v>50</v>
      </c>
      <c r="P18" s="6" t="n">
        <f aca="false">IFERROR(O18/$O$20,0)</f>
        <v>0.0780688879867595</v>
      </c>
      <c r="Q18" s="3" t="s">
        <v>32</v>
      </c>
    </row>
    <row r="19" customFormat="false" ht="15" hidden="false" customHeight="true" outlineLevel="0" collapsed="false"/>
    <row r="20" customFormat="false" ht="15" hidden="false" customHeight="false" outlineLevel="0" collapsed="false">
      <c r="A20" s="7" t="s">
        <v>33</v>
      </c>
      <c r="C20" s="8" t="n">
        <f aca="false">SUM(C3:C18)</f>
        <v>0</v>
      </c>
      <c r="D20" s="8" t="n">
        <f aca="false">SUM(D3:D18)</f>
        <v>0</v>
      </c>
      <c r="E20" s="8" t="n">
        <f aca="false">SUM(E3:E18)</f>
        <v>0</v>
      </c>
      <c r="F20" s="8" t="n">
        <f aca="false">SUM(F3:F18)</f>
        <v>0</v>
      </c>
      <c r="G20" s="8" t="n">
        <f aca="false">SUM(G3:G18)</f>
        <v>0</v>
      </c>
      <c r="H20" s="8" t="n">
        <f aca="false">SUM(H3:H18)</f>
        <v>0</v>
      </c>
      <c r="I20" s="8" t="n">
        <f aca="false">SUM(I3:I18)</f>
        <v>563.96</v>
      </c>
      <c r="J20" s="8" t="n">
        <f aca="false">SUM(J3:J18)</f>
        <v>76.5</v>
      </c>
      <c r="K20" s="8" t="n">
        <f aca="false">SUM(K3:K18)</f>
        <v>0</v>
      </c>
      <c r="L20" s="8" t="n">
        <f aca="false">SUM(L3:L18)</f>
        <v>0</v>
      </c>
      <c r="M20" s="8" t="n">
        <f aca="false">SUM(M3:M18)</f>
        <v>0</v>
      </c>
      <c r="N20" s="8" t="n">
        <f aca="false">SUM(N3:N18)</f>
        <v>0</v>
      </c>
      <c r="O20" s="8" t="n">
        <f aca="false">SUM(O3:O18)</f>
        <v>640.46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9" t="s">
        <v>34</v>
      </c>
      <c r="C22" s="10" t="n">
        <f aca="false">SUMIF($B$3:$B$18,"Ocio",C3:C18)</f>
        <v>0</v>
      </c>
      <c r="D22" s="10" t="n">
        <f aca="false">SUMIF($B$3:$B$18,"Ocio",D3:D18)</f>
        <v>0</v>
      </c>
      <c r="E22" s="10" t="n">
        <f aca="false">SUMIF($B$3:$B$18,"Ocio",E3:E18)</f>
        <v>0</v>
      </c>
      <c r="F22" s="10" t="n">
        <f aca="false">SUMIF($B$3:$B$18,"Ocio",F3:F18)</f>
        <v>0</v>
      </c>
      <c r="G22" s="10" t="n">
        <f aca="false">SUMIF($B$3:$B$18,"Ocio",G3:G18)</f>
        <v>0</v>
      </c>
      <c r="H22" s="10" t="n">
        <f aca="false">SUMIF($B$3:$B$18,"Ocio",H3:H18)</f>
        <v>0</v>
      </c>
      <c r="I22" s="10" t="n">
        <f aca="false">SUMIF($B$3:$B$18,"Ocio",I3:I18)</f>
        <v>241.66</v>
      </c>
      <c r="J22" s="10" t="n">
        <f aca="false">SUMIF($B$3:$B$18,"Ocio",J3:J18)</f>
        <v>70.15</v>
      </c>
      <c r="K22" s="10" t="n">
        <f aca="false">SUMIF($B$3:$B$18,"Ocio",K3:K18)</f>
        <v>0</v>
      </c>
      <c r="L22" s="10" t="n">
        <f aca="false">SUMIF($B$3:$B$18,"Ocio",L3:L18)</f>
        <v>0</v>
      </c>
      <c r="M22" s="10" t="n">
        <f aca="false">SUMIF($B$3:$B$18,"Ocio",M3:M18)</f>
        <v>0</v>
      </c>
      <c r="N22" s="10" t="n">
        <f aca="false">SUMIF($B$3:$B$18,"Ocio",N3:N18)</f>
        <v>0</v>
      </c>
    </row>
    <row r="23" customFormat="false" ht="15" hidden="false" customHeight="true" outlineLevel="0" collapsed="false">
      <c r="A23" s="9" t="s">
        <v>35</v>
      </c>
      <c r="C23" s="10" t="n">
        <f aca="false">SUMIF($B$3:$B$18,"Ordinario",C3:C18)</f>
        <v>0</v>
      </c>
      <c r="D23" s="10" t="n">
        <f aca="false">SUMIF($B$3:$B$18,"Ordinario",D3:D18)</f>
        <v>0</v>
      </c>
      <c r="E23" s="10" t="n">
        <f aca="false">SUMIF($B$3:$B$18,"Ordinario",E3:E18)</f>
        <v>0</v>
      </c>
      <c r="F23" s="10" t="n">
        <f aca="false">SUMIF($B$3:$B$18,"Ordinario",F3:F18)</f>
        <v>0</v>
      </c>
      <c r="G23" s="10" t="n">
        <f aca="false">SUMIF($B$3:$B$18,"Ordinario",G3:G18)</f>
        <v>0</v>
      </c>
      <c r="H23" s="10" t="n">
        <f aca="false">SUMIF($B$3:$B$18,"Ordinario",H3:H18)</f>
        <v>0</v>
      </c>
      <c r="I23" s="10" t="n">
        <f aca="false">SUMIF($B$3:$B$18,"Ordinario",I3:I18)</f>
        <v>15</v>
      </c>
      <c r="J23" s="10" t="n">
        <f aca="false">SUMIF($B$3:$B$18,"Ordinario",J3:J18)</f>
        <v>0</v>
      </c>
      <c r="K23" s="10" t="n">
        <f aca="false">SUMIF($B$3:$B$18,"Ordinario",K3:K18)</f>
        <v>0</v>
      </c>
      <c r="L23" s="10" t="n">
        <f aca="false">SUMIF($B$3:$B$18,"Ordinario",L3:L18)</f>
        <v>0</v>
      </c>
      <c r="M23" s="10" t="n">
        <f aca="false">SUMIF($B$3:$B$18,"Ordinario",M3:M18)</f>
        <v>0</v>
      </c>
      <c r="N23" s="10" t="n">
        <f aca="false">SUMIF($B$3:$B$18,"Ordinario",N3:N18)</f>
        <v>0</v>
      </c>
    </row>
    <row r="24" customFormat="false" ht="15" hidden="false" customHeight="false" outlineLevel="0" collapsed="false">
      <c r="A24" s="9" t="s">
        <v>36</v>
      </c>
      <c r="C24" s="10" t="n">
        <f aca="false">SUMIF($B$3:$B$18,"Extraordinario",C3:C18)</f>
        <v>0</v>
      </c>
      <c r="D24" s="10" t="n">
        <f aca="false">SUMIF($B$3:$B$18,"Extraordinario",D3:D18)</f>
        <v>0</v>
      </c>
      <c r="E24" s="10" t="n">
        <f aca="false">SUMIF($B$3:$B$18,"Extraordinario",E3:E18)</f>
        <v>0</v>
      </c>
      <c r="F24" s="10" t="n">
        <f aca="false">SUMIF($B$3:$B$18,"Extraordinario",F3:F18)</f>
        <v>0</v>
      </c>
      <c r="G24" s="10" t="n">
        <f aca="false">SUMIF($B$3:$B$18,"Extraordinario",G3:G18)</f>
        <v>0</v>
      </c>
      <c r="H24" s="10" t="n">
        <f aca="false">SUMIF($B$3:$B$18,"Extraordinario",H3:H18)</f>
        <v>0</v>
      </c>
      <c r="I24" s="10" t="n">
        <f aca="false">SUMIF($B$3:$B$18,"Extraordinario",I3:I18)</f>
        <v>307.3</v>
      </c>
      <c r="J24" s="10" t="n">
        <f aca="false">SUMIF($B$3:$B$18,"Extraordinario",J3:J18)</f>
        <v>6.35</v>
      </c>
      <c r="K24" s="10" t="n">
        <f aca="false">SUMIF($B$3:$B$18,"Extraordinario",K3:K18)</f>
        <v>0</v>
      </c>
      <c r="L24" s="10" t="n">
        <f aca="false">SUMIF($B$3:$B$18,"Extraordinario",L3:L18)</f>
        <v>0</v>
      </c>
      <c r="M24" s="10" t="n">
        <f aca="false">SUMIF($B$3:$B$18,"Extraordinario",M3:M18)</f>
        <v>0</v>
      </c>
      <c r="N24" s="10" t="n">
        <f aca="false">SUMIF($B$3:$B$18,"Extraordinario",N3:N18)</f>
        <v>0</v>
      </c>
    </row>
  </sheetData>
  <mergeCells count="1">
    <mergeCell ref="A1:Q1"/>
  </mergeCells>
  <conditionalFormatting sqref="P3:P17">
    <cfRule type="dataBar" priority="2">
      <dataBar showValue="1" minLength="10" maxLength="90">
        <cfvo type="min" val="0"/>
        <cfvo type="max" val="0"/>
        <color rgb="FFFF555A"/>
      </dataBar>
      <extLst>
        <ext xmlns:x14="http://schemas.microsoft.com/office/spreadsheetml/2009/9/main" uri="{B025F937-C7B1-47D3-B67F-A62EFF666E3E}">
          <x14:id>{6D785AD9-D15C-4E5C-8072-99809B3BB344}</x14:id>
        </ext>
      </extLst>
    </cfRule>
  </conditionalFormatting>
  <conditionalFormatting sqref="O2:P17">
    <cfRule type="dataBar" priority="3">
      <dataBar showValue="1" minLength="10" maxLength="90">
        <cfvo type="min" val="0"/>
        <cfvo type="max" val="0"/>
        <color rgb="FFFF555A"/>
      </dataBar>
      <extLst>
        <ext xmlns:x14="http://schemas.microsoft.com/office/spreadsheetml/2009/9/main" uri="{B025F937-C7B1-47D3-B67F-A62EFF666E3E}">
          <x14:id>{27FC40DB-E6C0-4236-8450-EA31A73D74E3}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785AD9-D15C-4E5C-8072-99809B3BB344}">
            <x14:dataBar minLength="10" maxLength="90" axisPosition="none" gradient="true">
              <x14:cfvo type="min"/>
              <x14:cfvo type="max"/>
              <x14:negativeFillColor rgb="FFFF555A"/>
              <x14:axisColor rgb="FF000000"/>
            </x14:dataBar>
          </x14:cfRule>
          <xm:sqref>P3:P17</xm:sqref>
        </x14:conditionalFormatting>
        <x14:conditionalFormatting xmlns:xm="http://schemas.microsoft.com/office/excel/2006/main">
          <x14:cfRule type="dataBar" id="{27FC40DB-E6C0-4236-8450-EA31A73D74E3}">
            <x14:dataBar minLength="10" maxLength="90" axisPosition="none" gradient="true">
              <x14:cfvo type="min"/>
              <x14:cfvo type="max"/>
              <x14:negativeFillColor rgb="FFFF555A"/>
              <x14:axisColor rgb="FF000000"/>
            </x14:dataBar>
          </x14:cfRule>
          <xm:sqref>O2:P17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18" activeCellId="0" sqref="E18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20.25" hidden="false" customHeight="true" outlineLevel="0" collapsed="false">
      <c r="A1" s="11" t="s">
        <v>37</v>
      </c>
    </row>
    <row r="2" customFormat="false" ht="15" hidden="false" customHeight="true" outlineLevel="0" collapsed="false">
      <c r="A2" s="12"/>
    </row>
    <row r="3" customFormat="false" ht="15" hidden="false" customHeight="true" outlineLevel="0" collapsed="false">
      <c r="A3" s="12" t="s">
        <v>38</v>
      </c>
    </row>
    <row r="4" customFormat="false" ht="15" hidden="false" customHeight="true" outlineLevel="0" collapsed="false">
      <c r="A4" s="12" t="s">
        <v>39</v>
      </c>
    </row>
    <row r="5" customFormat="false" ht="15" hidden="false" customHeight="true" outlineLevel="0" collapsed="false">
      <c r="A5" s="12" t="s">
        <v>40</v>
      </c>
    </row>
    <row r="6" customFormat="false" ht="15" hidden="false" customHeight="true" outlineLevel="0" collapsed="false">
      <c r="A6" s="12" t="s">
        <v>41</v>
      </c>
    </row>
    <row r="7" customFormat="false" ht="15" hidden="false" customHeight="true" outlineLevel="0" collapsed="false">
      <c r="A7" s="12" t="s">
        <v>42</v>
      </c>
    </row>
    <row r="8" customFormat="false" ht="15" hidden="false" customHeight="true" outlineLevel="0" collapsed="false">
      <c r="A8" s="12" t="s">
        <v>43</v>
      </c>
    </row>
    <row r="9" customFormat="false" ht="15" hidden="false" customHeight="true" outlineLevel="0" collapsed="false">
      <c r="A9" s="12" t="s">
        <v>44</v>
      </c>
    </row>
    <row r="10" customFormat="false" ht="15" hidden="false" customHeight="true" outlineLevel="0" collapsed="false">
      <c r="A10" s="12" t="s">
        <v>45</v>
      </c>
    </row>
    <row r="11" customFormat="false" ht="15" hidden="false" customHeight="true" outlineLevel="0" collapsed="false">
      <c r="A11" s="12" t="s">
        <v>46</v>
      </c>
    </row>
    <row r="12" customFormat="false" ht="15" hidden="false" customHeight="true" outlineLevel="0" collapsed="false">
      <c r="A12" s="12" t="s">
        <v>47</v>
      </c>
    </row>
    <row r="13" customFormat="false" ht="15" hidden="false" customHeight="true" outlineLevel="0" collapsed="false">
      <c r="A13" s="12" t="s">
        <v>48</v>
      </c>
    </row>
    <row r="14" customFormat="false" ht="15" hidden="false" customHeight="true" outlineLevel="0" collapsed="false">
      <c r="A14" s="12" t="s">
        <v>49</v>
      </c>
    </row>
    <row r="15" customFormat="false" ht="15" hidden="false" customHeight="true" outlineLevel="0" collapsed="false">
      <c r="A15" s="12"/>
    </row>
    <row r="16" customFormat="false" ht="15" hidden="false" customHeight="true" outlineLevel="0" collapsed="false">
      <c r="A16" s="12" t="s">
        <v>50</v>
      </c>
    </row>
    <row r="17" customFormat="false" ht="15" hidden="false" customHeight="true" outlineLevel="0" collapsed="false">
      <c r="A17" s="13" t="s">
        <v>51</v>
      </c>
      <c r="B17" s="13" t="s">
        <v>52</v>
      </c>
      <c r="C17" s="13" t="s">
        <v>1</v>
      </c>
      <c r="D17" s="13" t="s">
        <v>2</v>
      </c>
      <c r="E17" s="13" t="s">
        <v>53</v>
      </c>
    </row>
    <row r="18" customFormat="false" ht="15" hidden="false" customHeight="true" outlineLevel="0" collapsed="false">
      <c r="A18" s="14" t="s">
        <v>54</v>
      </c>
      <c r="B18" s="15" t="s">
        <v>55</v>
      </c>
      <c r="C18" s="15" t="s">
        <v>29</v>
      </c>
      <c r="D18" s="16" t="s">
        <v>56</v>
      </c>
      <c r="E18" s="17" t="n">
        <v>32.5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</cols>
  <sheetData>
    <row r="1" customFormat="false" ht="15" hidden="false" customHeight="true" outlineLevel="0" collapsed="false">
      <c r="A1" s="13" t="s">
        <v>1</v>
      </c>
      <c r="B1" s="13" t="s">
        <v>2</v>
      </c>
    </row>
    <row r="2" customFormat="false" ht="15" hidden="false" customHeight="true" outlineLevel="0" collapsed="false">
      <c r="A2" s="15" t="s">
        <v>17</v>
      </c>
      <c r="B2" s="15" t="s">
        <v>57</v>
      </c>
    </row>
    <row r="3" customFormat="false" ht="15" hidden="false" customHeight="true" outlineLevel="0" collapsed="false">
      <c r="A3" s="15" t="s">
        <v>18</v>
      </c>
      <c r="B3" s="15" t="s">
        <v>57</v>
      </c>
    </row>
    <row r="4" customFormat="false" ht="15" hidden="false" customHeight="true" outlineLevel="0" collapsed="false">
      <c r="A4" s="15" t="s">
        <v>19</v>
      </c>
      <c r="B4" s="15" t="s">
        <v>57</v>
      </c>
    </row>
    <row r="5" customFormat="false" ht="15" hidden="false" customHeight="true" outlineLevel="0" collapsed="false">
      <c r="A5" s="15" t="s">
        <v>20</v>
      </c>
      <c r="B5" s="15" t="s">
        <v>57</v>
      </c>
    </row>
    <row r="6" customFormat="false" ht="15" hidden="false" customHeight="true" outlineLevel="0" collapsed="false">
      <c r="A6" s="15" t="s">
        <v>21</v>
      </c>
      <c r="B6" s="15" t="s">
        <v>57</v>
      </c>
    </row>
    <row r="7" customFormat="false" ht="15" hidden="false" customHeight="true" outlineLevel="0" collapsed="false">
      <c r="A7" s="15" t="s">
        <v>22</v>
      </c>
      <c r="B7" s="15" t="s">
        <v>57</v>
      </c>
    </row>
    <row r="8" customFormat="false" ht="15" hidden="false" customHeight="true" outlineLevel="0" collapsed="false">
      <c r="A8" s="15" t="s">
        <v>23</v>
      </c>
      <c r="B8" s="15" t="s">
        <v>57</v>
      </c>
    </row>
    <row r="9" customFormat="false" ht="15" hidden="false" customHeight="true" outlineLevel="0" collapsed="false">
      <c r="A9" s="15" t="s">
        <v>24</v>
      </c>
      <c r="B9" s="15" t="s">
        <v>57</v>
      </c>
    </row>
    <row r="10" customFormat="false" ht="15" hidden="false" customHeight="true" outlineLevel="0" collapsed="false">
      <c r="A10" s="15" t="s">
        <v>25</v>
      </c>
      <c r="B10" s="15" t="s">
        <v>56</v>
      </c>
    </row>
    <row r="11" customFormat="false" ht="15" hidden="false" customHeight="true" outlineLevel="0" collapsed="false">
      <c r="A11" s="15" t="s">
        <v>26</v>
      </c>
      <c r="B11" s="15" t="s">
        <v>56</v>
      </c>
    </row>
    <row r="12" customFormat="false" ht="15" hidden="false" customHeight="true" outlineLevel="0" collapsed="false">
      <c r="A12" s="15" t="s">
        <v>27</v>
      </c>
      <c r="B12" s="15" t="s">
        <v>56</v>
      </c>
    </row>
    <row r="13" customFormat="false" ht="15" hidden="false" customHeight="true" outlineLevel="0" collapsed="false">
      <c r="A13" s="15" t="s">
        <v>28</v>
      </c>
      <c r="B13" s="15" t="s">
        <v>56</v>
      </c>
    </row>
    <row r="14" customFormat="false" ht="15" hidden="false" customHeight="true" outlineLevel="0" collapsed="false">
      <c r="A14" s="15" t="s">
        <v>29</v>
      </c>
      <c r="B14" s="15" t="s">
        <v>56</v>
      </c>
    </row>
    <row r="15" customFormat="false" ht="15" hidden="false" customHeight="true" outlineLevel="0" collapsed="false">
      <c r="A15" s="15" t="s">
        <v>30</v>
      </c>
      <c r="B15" s="15" t="s">
        <v>58</v>
      </c>
    </row>
    <row r="16" customFormat="false" ht="15" hidden="false" customHeight="true" outlineLevel="0" collapsed="false">
      <c r="A16" s="15" t="s">
        <v>31</v>
      </c>
      <c r="B16" s="15" t="s">
        <v>58</v>
      </c>
    </row>
    <row r="17" customFormat="false" ht="15" hidden="false" customHeight="false" outlineLevel="0" collapsed="false">
      <c r="A17" s="15" t="s">
        <v>32</v>
      </c>
      <c r="B17" s="15" t="s">
        <v>58</v>
      </c>
    </row>
  </sheetData>
  <dataValidations count="1">
    <dataValidation allowBlank="false" errorStyle="stop" operator="between" showDropDown="false" showErrorMessage="false" showInputMessage="false" sqref="B2:B16" type="list">
      <formula1>"Ocio,Ordinario"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59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{AC80CAF0-648F-467C-93F4-006E10CCE4A8}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80CAF0-648F-467C-93F4-006E10CCE4A8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62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{631967D1-4B28-4EB0-A185-3ABD2CB2D451}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1967D1-4B28-4EB0-A185-3ABD2CB2D451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63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{14CF9D15-6437-411D-85DC-92B097A5B03F}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CF9D15-6437-411D-85DC-92B097A5B03F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64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{61E62C94-77BB-4ABF-8AE3-D187E88AE2D7}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E62C94-77BB-4ABF-8AE3-D187E88AE2D7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65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{721D761C-FC8B-4264-818B-1127E09C8DE8}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1D761C-FC8B-4264-818B-1127E09C8DE8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66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{76D5F86E-DFF3-4355-8653-714B29FC80B0}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D5F86E-DFF3-4355-8653-714B29FC80B0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21" activeCellId="0" sqref="A21"/>
    </sheetView>
  </sheetViews>
  <sheetFormatPr defaultColWidth="8.71484375" defaultRowHeight="15" zeroHeight="false" outlineLevelRow="0" outlineLevelCol="0"/>
  <cols>
    <col collapsed="false" customWidth="true" hidden="false" outlineLevel="0" max="1" min="1" style="25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67</v>
      </c>
      <c r="B1" s="18"/>
      <c r="C1" s="18"/>
      <c r="D1" s="18"/>
      <c r="E1" s="18"/>
    </row>
    <row r="2" customFormat="false" ht="15" hidden="false" customHeight="true" outlineLevel="0" collapsed="false">
      <c r="A2" s="26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 t="n">
        <v>46204</v>
      </c>
      <c r="B3" s="15" t="s">
        <v>68</v>
      </c>
      <c r="C3" s="15" t="s">
        <v>23</v>
      </c>
      <c r="D3" s="16" t="str">
        <f aca="false">IFERROR(INDEX(Categorías!$B$2:$B$16,MATCH(C3,Categorías!$A$2:$A$16,0)),"")</f>
        <v>Ocio</v>
      </c>
      <c r="E3" s="17" t="n">
        <v>3</v>
      </c>
      <c r="G3" s="3" t="str">
        <f aca="false">Categorías!A2</f>
        <v>Videojuegos</v>
      </c>
      <c r="H3" s="20" t="n">
        <f aca="false">SUMIF($C$3:$C$32,G3,$E$3:$E$32)</f>
        <v>40</v>
      </c>
      <c r="I3" s="21" t="str">
        <f aca="false">Categorías!B2</f>
        <v>Ocio</v>
      </c>
    </row>
    <row r="4" customFormat="false" ht="15" hidden="false" customHeight="true" outlineLevel="0" collapsed="false">
      <c r="A4" s="14" t="n">
        <v>46206</v>
      </c>
      <c r="B4" s="15" t="s">
        <v>69</v>
      </c>
      <c r="C4" s="15" t="s">
        <v>31</v>
      </c>
      <c r="D4" s="16" t="str">
        <f aca="false">IFERROR(INDEX(Categorías!$B$2:$B$16,MATCH(C4,Categorías!$A$2:$A$16,0)),"")</f>
        <v>Extraordinario</v>
      </c>
      <c r="E4" s="17" t="n">
        <v>20</v>
      </c>
      <c r="G4" s="3" t="str">
        <f aca="false">Categorías!A3</f>
        <v>Apuestas</v>
      </c>
      <c r="H4" s="20" t="n">
        <f aca="false">SUMIF($C$3:$C$32,G4,$E$3:$E$32)</f>
        <v>40</v>
      </c>
      <c r="I4" s="21" t="str">
        <f aca="false">Categorías!B3</f>
        <v>Ocio</v>
      </c>
    </row>
    <row r="5" customFormat="false" ht="15" hidden="false" customHeight="true" outlineLevel="0" collapsed="false">
      <c r="A5" s="14" t="n">
        <v>46209</v>
      </c>
      <c r="B5" s="15" t="s">
        <v>70</v>
      </c>
      <c r="C5" s="15" t="s">
        <v>23</v>
      </c>
      <c r="D5" s="16" t="str">
        <f aca="false">IFERROR(INDEX(Categorías!$B$2:$B$16,MATCH(C5,Categorías!$A$2:$A$16,0)),"")</f>
        <v>Ocio</v>
      </c>
      <c r="E5" s="17" t="n">
        <v>1.8</v>
      </c>
      <c r="G5" s="3" t="str">
        <f aca="false">Categorías!A4</f>
        <v>Salidas/Ocio</v>
      </c>
      <c r="H5" s="20" t="n">
        <f aca="false">SUMIF($C$3:$C$32,G5,$E$3:$E$32)</f>
        <v>122.4</v>
      </c>
      <c r="I5" s="21" t="str">
        <f aca="false">Categorías!B4</f>
        <v>Ocio</v>
      </c>
    </row>
    <row r="6" customFormat="false" ht="15" hidden="false" customHeight="true" outlineLevel="0" collapsed="false">
      <c r="A6" s="14" t="n">
        <v>46210</v>
      </c>
      <c r="B6" s="15" t="s">
        <v>22</v>
      </c>
      <c r="C6" s="15" t="s">
        <v>22</v>
      </c>
      <c r="D6" s="16" t="str">
        <f aca="false">IFERROR(INDEX(Categorías!$B$2:$B$16,MATCH(C6,Categorías!$A$2:$A$16,0)),"")</f>
        <v>Ocio</v>
      </c>
      <c r="E6" s="17" t="n">
        <f aca="false">21.84/4</f>
        <v>5.46</v>
      </c>
      <c r="G6" s="3" t="str">
        <f aca="false">Categorías!A5</f>
        <v>Suscripciones ocio</v>
      </c>
      <c r="H6" s="20" t="n">
        <f aca="false">SUMIF($C$3:$C$32,G6,$E$3:$E$32)</f>
        <v>8.5</v>
      </c>
      <c r="I6" s="21" t="str">
        <f aca="false">Categorías!B5</f>
        <v>Ocio</v>
      </c>
    </row>
    <row r="7" customFormat="false" ht="15" hidden="false" customHeight="true" outlineLevel="0" collapsed="false">
      <c r="A7" s="14" t="n">
        <v>46210</v>
      </c>
      <c r="B7" s="15" t="s">
        <v>22</v>
      </c>
      <c r="C7" s="15" t="s">
        <v>22</v>
      </c>
      <c r="D7" s="16" t="str">
        <f aca="false">IFERROR(INDEX(Categorías!$B$2:$B$16,MATCH(C7,Categorías!$A$2:$A$16,0)),"")</f>
        <v>Ocio</v>
      </c>
      <c r="E7" s="17" t="n">
        <v>3.5</v>
      </c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 t="n">
        <v>46210</v>
      </c>
      <c r="B8" s="15" t="s">
        <v>71</v>
      </c>
      <c r="C8" s="15" t="s">
        <v>18</v>
      </c>
      <c r="D8" s="16" t="str">
        <f aca="false">IFERROR(INDEX(Categorías!$B$2:$B$16,MATCH(C8,Categorías!$A$2:$A$16,0)),"")</f>
        <v>Ocio</v>
      </c>
      <c r="E8" s="17" t="n">
        <v>40</v>
      </c>
      <c r="G8" s="3" t="str">
        <f aca="false">Categorías!A7</f>
        <v>Padel</v>
      </c>
      <c r="H8" s="20" t="n">
        <f aca="false">SUMIF($C$3:$C$32,G8,$E$3:$E$32)</f>
        <v>15.96</v>
      </c>
      <c r="I8" s="21" t="str">
        <f aca="false">Categorías!B7</f>
        <v>Ocio</v>
      </c>
    </row>
    <row r="9" customFormat="false" ht="15" hidden="false" customHeight="true" outlineLevel="0" collapsed="false">
      <c r="A9" s="14" t="n">
        <v>46213</v>
      </c>
      <c r="B9" s="15" t="s">
        <v>68</v>
      </c>
      <c r="C9" s="15" t="s">
        <v>23</v>
      </c>
      <c r="D9" s="16" t="str">
        <f aca="false">IFERROR(INDEX(Categorías!$B$2:$B$16,MATCH(C9,Categorías!$A$2:$A$16,0)),"")</f>
        <v>Ocio</v>
      </c>
      <c r="E9" s="17" t="n">
        <v>5.5</v>
      </c>
      <c r="G9" s="3" t="str">
        <f aca="false">Categorías!A8</f>
        <v>Alimentación</v>
      </c>
      <c r="H9" s="20" t="n">
        <f aca="false">SUMIF($C$3:$C$32,G9,$E$3:$E$32)</f>
        <v>14.8</v>
      </c>
      <c r="I9" s="21" t="str">
        <f aca="false">Categorías!B8</f>
        <v>Ocio</v>
      </c>
    </row>
    <row r="10" customFormat="false" ht="15" hidden="false" customHeight="true" outlineLevel="0" collapsed="false">
      <c r="A10" s="14" t="n">
        <v>46217</v>
      </c>
      <c r="B10" s="15" t="s">
        <v>72</v>
      </c>
      <c r="C10" s="15" t="s">
        <v>30</v>
      </c>
      <c r="D10" s="16" t="str">
        <f aca="false">IFERROR(INDEX(Categorías!$B$2:$B$16,MATCH(C10,Categorías!$A$2:$A$16,0)),"")</f>
        <v>Extraordinario</v>
      </c>
      <c r="E10" s="17" t="n">
        <v>19.3</v>
      </c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 t="n">
        <v>46218</v>
      </c>
      <c r="B11" s="15" t="s">
        <v>73</v>
      </c>
      <c r="C11" s="15" t="s">
        <v>23</v>
      </c>
      <c r="D11" s="16" t="str">
        <f aca="false">IFERROR(INDEX(Categorías!$B$2:$B$16,MATCH(C11,Categorías!$A$2:$A$16,0)),"")</f>
        <v>Ocio</v>
      </c>
      <c r="E11" s="17" t="n">
        <v>4.5</v>
      </c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 t="n">
        <v>46222</v>
      </c>
      <c r="B12" s="15" t="s">
        <v>74</v>
      </c>
      <c r="C12" s="15" t="s">
        <v>19</v>
      </c>
      <c r="D12" s="16" t="str">
        <f aca="false">IFERROR(INDEX(Categorías!$B$2:$B$16,MATCH(C12,Categorías!$A$2:$A$16,0)),"")</f>
        <v>Ocio</v>
      </c>
      <c r="E12" s="17" t="n">
        <v>100</v>
      </c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 t="n">
        <v>46225</v>
      </c>
      <c r="B13" s="15" t="s">
        <v>22</v>
      </c>
      <c r="C13" s="15" t="s">
        <v>22</v>
      </c>
      <c r="D13" s="16" t="str">
        <f aca="false">IFERROR(INDEX(Categorías!$B$2:$B$16,MATCH(C13,Categorías!$A$2:$A$16,0)),"")</f>
        <v>Ocio</v>
      </c>
      <c r="E13" s="17" t="n">
        <v>3.5</v>
      </c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 t="n">
        <v>46226</v>
      </c>
      <c r="B14" s="15" t="s">
        <v>75</v>
      </c>
      <c r="C14" s="15" t="s">
        <v>30</v>
      </c>
      <c r="D14" s="16" t="str">
        <f aca="false">IFERROR(INDEX(Categorías!$B$2:$B$16,MATCH(C14,Categorías!$A$2:$A$16,0)),"")</f>
        <v>Extraordinario</v>
      </c>
      <c r="E14" s="17" t="n">
        <v>218</v>
      </c>
      <c r="G14" s="3" t="str">
        <f aca="false">Categorías!A13</f>
        <v>Barbero</v>
      </c>
      <c r="H14" s="20" t="n">
        <f aca="false">SUMIF($C$3:$C$32,G14,$E$3:$E$32)</f>
        <v>15</v>
      </c>
      <c r="I14" s="21" t="str">
        <f aca="false">Categorías!B13</f>
        <v>Ordinario</v>
      </c>
    </row>
    <row r="15" customFormat="false" ht="15" hidden="false" customHeight="true" outlineLevel="0" collapsed="false">
      <c r="A15" s="14" t="n">
        <v>46229</v>
      </c>
      <c r="B15" s="15" t="s">
        <v>76</v>
      </c>
      <c r="C15" s="15" t="s">
        <v>19</v>
      </c>
      <c r="D15" s="16" t="str">
        <f aca="false">IFERROR(INDEX(Categorías!$B$2:$B$16,MATCH(C15,Categorías!$A$2:$A$16,0)),"")</f>
        <v>Ocio</v>
      </c>
      <c r="E15" s="17" t="n">
        <f aca="false">9.9+12.5</f>
        <v>22.4</v>
      </c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 t="n">
        <v>46231</v>
      </c>
      <c r="B16" s="15" t="s">
        <v>22</v>
      </c>
      <c r="C16" s="15" t="s">
        <v>22</v>
      </c>
      <c r="D16" s="16" t="str">
        <f aca="false">IFERROR(INDEX(Categorías!$B$2:$B$16,MATCH(C16,Categorías!$A$2:$A$16,0)),"")</f>
        <v>Ocio</v>
      </c>
      <c r="E16" s="17" t="n">
        <v>3.5</v>
      </c>
      <c r="G16" s="3" t="str">
        <f aca="false">Categorías!A15</f>
        <v>Burocracia</v>
      </c>
      <c r="H16" s="20" t="n">
        <f aca="false">SUMIF($C$3:$C$32,G16,$E$3:$E$32)</f>
        <v>237.3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 t="n">
        <v>46232</v>
      </c>
      <c r="B17" s="15" t="s">
        <v>77</v>
      </c>
      <c r="C17" s="15" t="s">
        <v>17</v>
      </c>
      <c r="D17" s="16" t="str">
        <f aca="false">IFERROR(INDEX(Categorías!$B$2:$B$16,MATCH(C17,Categorías!$A$2:$A$16,0)),"")</f>
        <v>Ocio</v>
      </c>
      <c r="E17" s="17" t="n">
        <v>40</v>
      </c>
      <c r="G17" s="22" t="str">
        <f aca="false">Categorías!A16</f>
        <v>Regalos</v>
      </c>
      <c r="H17" s="23" t="n">
        <f aca="false">SUMIF($C$3:$C$32,G17,$E$3:$E$32)</f>
        <v>20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 t="n">
        <v>46233</v>
      </c>
      <c r="B18" s="15" t="s">
        <v>28</v>
      </c>
      <c r="C18" s="15" t="s">
        <v>28</v>
      </c>
      <c r="D18" s="16" t="str">
        <f aca="false">IFERROR(INDEX(Categorías!$B$2:$B$16,MATCH(C18,Categorías!$A$2:$A$16,0)),"")</f>
        <v>Ordinario</v>
      </c>
      <c r="E18" s="17" t="n">
        <v>15</v>
      </c>
      <c r="G18" s="0" t="str">
        <f aca="false">Categorías!A17</f>
        <v>Multas</v>
      </c>
      <c r="H18" s="0" t="n">
        <f aca="false">SUMIF($C$3:$C$32,G18,$E$3:$E$32)</f>
        <v>50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 t="n">
        <v>46233</v>
      </c>
      <c r="B19" s="15" t="s">
        <v>78</v>
      </c>
      <c r="C19" s="15" t="s">
        <v>32</v>
      </c>
      <c r="D19" s="16" t="str">
        <f aca="false">IFERROR(INDEX(Categorías!$B$2:$B$16,MATCH(C19,Categorías!$A$2:$A$16,0)),"")</f>
        <v/>
      </c>
      <c r="E19" s="17" t="n">
        <v>50</v>
      </c>
    </row>
    <row r="20" customFormat="false" ht="15" hidden="false" customHeight="true" outlineLevel="0" collapsed="false">
      <c r="A20" s="14" t="n">
        <v>46221</v>
      </c>
      <c r="B20" s="15" t="s">
        <v>79</v>
      </c>
      <c r="C20" s="15" t="s">
        <v>20</v>
      </c>
      <c r="D20" s="16" t="str">
        <f aca="false">IFERROR(INDEX(Categorías!$B$2:$B$16,MATCH(C20,Categorías!$A$2:$A$16,0)),"")</f>
        <v>Ocio</v>
      </c>
      <c r="E20" s="17" t="n">
        <v>8.5</v>
      </c>
      <c r="G20" s="9" t="s">
        <v>34</v>
      </c>
      <c r="H20" s="24" t="n">
        <f aca="false">SUMIF($I$3:$I$18,"Ocio",$H$3:$H$18)</f>
        <v>241.66</v>
      </c>
    </row>
    <row r="21" customFormat="false" ht="15" hidden="false" customHeight="true" outlineLevel="0" collapsed="false">
      <c r="G21" s="9" t="s">
        <v>35</v>
      </c>
      <c r="H21" s="24" t="n">
        <f aca="false">SUMIF($I$3:$I$18,"Ordinario",$H$3:$H$18)</f>
        <v>15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307.3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563.96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20 E22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{6B2FD130-40C4-4CE7-B6F0-E317B6841351}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2FD130-40C4-4CE7-B6F0-E317B6841351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E3:E20 E22:E32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80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 t="n">
        <v>46236</v>
      </c>
      <c r="B3" s="15" t="s">
        <v>81</v>
      </c>
      <c r="C3" s="3" t="s">
        <v>19</v>
      </c>
      <c r="D3" s="16" t="str">
        <f aca="false">IFERROR(INDEX(Categorías!$B$2:$B$16,MATCH(C3,Categorías!$A$2:$A$16,0)),"")</f>
        <v>Ocio</v>
      </c>
      <c r="E3" s="17" t="n">
        <v>15.6</v>
      </c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 t="n">
        <v>46235</v>
      </c>
      <c r="B4" s="15" t="s">
        <v>82</v>
      </c>
      <c r="C4" s="3" t="s">
        <v>31</v>
      </c>
      <c r="D4" s="16" t="str">
        <f aca="false">IFERROR(INDEX(Categorías!$B$2:$B$16,MATCH(C4,Categorías!$A$2:$A$16,0)),"")</f>
        <v>Extraordinario</v>
      </c>
      <c r="E4" s="17" t="n">
        <v>6.35</v>
      </c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 t="n">
        <v>46247</v>
      </c>
      <c r="B5" s="15" t="s">
        <v>83</v>
      </c>
      <c r="C5" s="15" t="s">
        <v>19</v>
      </c>
      <c r="D5" s="16" t="str">
        <f aca="false">IFERROR(INDEX(Categorías!$B$2:$B$16,MATCH(C5,Categorías!$A$2:$A$16,0)),"")</f>
        <v>Ocio</v>
      </c>
      <c r="E5" s="17" t="n">
        <f aca="false">6.25+3.4</f>
        <v>9.65</v>
      </c>
      <c r="G5" s="3" t="str">
        <f aca="false">Categorías!A4</f>
        <v>Salidas/Ocio</v>
      </c>
      <c r="H5" s="20" t="n">
        <f aca="false">SUMIF($C$3:$C$32,G5,$E$3:$E$32)</f>
        <v>25.25</v>
      </c>
      <c r="I5" s="21" t="str">
        <f aca="false">Categorías!B4</f>
        <v>Ocio</v>
      </c>
    </row>
    <row r="6" customFormat="false" ht="15" hidden="false" customHeight="true" outlineLevel="0" collapsed="false">
      <c r="A6" s="14" t="n">
        <v>46247</v>
      </c>
      <c r="B6" s="15" t="s">
        <v>79</v>
      </c>
      <c r="C6" s="3" t="s">
        <v>20</v>
      </c>
      <c r="D6" s="16" t="str">
        <f aca="false">IFERROR(INDEX(Categorías!$B$2:$B$16,MATCH(C6,Categorías!$A$2:$A$16,0)),"")</f>
        <v>Ocio</v>
      </c>
      <c r="E6" s="17" t="n">
        <v>8.5</v>
      </c>
      <c r="G6" s="3" t="str">
        <f aca="false">Categorías!A5</f>
        <v>Suscripciones ocio</v>
      </c>
      <c r="H6" s="20" t="n">
        <f aca="false">SUMIF($C$3:$C$32,G6,$E$3:$E$32)</f>
        <v>11</v>
      </c>
      <c r="I6" s="21" t="str">
        <f aca="false">Categorías!B5</f>
        <v>Ocio</v>
      </c>
    </row>
    <row r="7" customFormat="false" ht="15" hidden="false" customHeight="true" outlineLevel="0" collapsed="false">
      <c r="A7" s="14" t="n">
        <v>46243</v>
      </c>
      <c r="B7" s="15" t="s">
        <v>84</v>
      </c>
      <c r="C7" s="15" t="s">
        <v>23</v>
      </c>
      <c r="D7" s="16" t="str">
        <f aca="false">IFERROR(INDEX(Categorías!$B$2:$B$16,MATCH(C7,Categorías!$A$2:$A$16,0)),"")</f>
        <v>Ocio</v>
      </c>
      <c r="E7" s="17" t="n">
        <v>18</v>
      </c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 t="n">
        <v>46249</v>
      </c>
      <c r="B8" s="15" t="s">
        <v>22</v>
      </c>
      <c r="C8" s="15" t="s">
        <v>22</v>
      </c>
      <c r="D8" s="16" t="str">
        <f aca="false">IFERROR(INDEX(Categorías!$B$2:$B$16,MATCH(C8,Categorías!$A$2:$A$16,0)),"")</f>
        <v>Ocio</v>
      </c>
      <c r="E8" s="17" t="n">
        <v>3.5</v>
      </c>
      <c r="G8" s="3" t="str">
        <f aca="false">Categorías!A7</f>
        <v>Padel</v>
      </c>
      <c r="H8" s="20" t="n">
        <f aca="false">SUMIF($C$3:$C$32,G8,$E$3:$E$32)</f>
        <v>12.3</v>
      </c>
      <c r="I8" s="21" t="str">
        <f aca="false">Categorías!B7</f>
        <v>Ocio</v>
      </c>
    </row>
    <row r="9" customFormat="false" ht="15" hidden="false" customHeight="true" outlineLevel="0" collapsed="false">
      <c r="A9" s="14" t="n">
        <v>46253</v>
      </c>
      <c r="B9" s="15" t="s">
        <v>22</v>
      </c>
      <c r="C9" s="15" t="s">
        <v>22</v>
      </c>
      <c r="D9" s="16" t="str">
        <f aca="false">IFERROR(INDEX(Categorías!$B$2:$B$16,MATCH(C9,Categorías!$A$2:$A$16,0)),"")</f>
        <v>Ocio</v>
      </c>
      <c r="E9" s="17" t="n">
        <v>3.5</v>
      </c>
      <c r="G9" s="3" t="str">
        <f aca="false">Categorías!A8</f>
        <v>Alimentación</v>
      </c>
      <c r="H9" s="20" t="n">
        <f aca="false">SUMIF($C$3:$C$32,G9,$E$3:$E$32)</f>
        <v>21.6</v>
      </c>
      <c r="I9" s="21" t="str">
        <f aca="false">Categorías!B8</f>
        <v>Ocio</v>
      </c>
    </row>
    <row r="10" customFormat="false" ht="15" hidden="false" customHeight="true" outlineLevel="0" collapsed="false">
      <c r="A10" s="14" t="n">
        <v>46254</v>
      </c>
      <c r="B10" s="15" t="s">
        <v>85</v>
      </c>
      <c r="C10" s="3" t="s">
        <v>20</v>
      </c>
      <c r="D10" s="16" t="s">
        <v>57</v>
      </c>
      <c r="E10" s="17" t="n">
        <v>2.5</v>
      </c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 t="n">
        <v>46260</v>
      </c>
      <c r="B11" s="15" t="s">
        <v>22</v>
      </c>
      <c r="C11" s="15" t="s">
        <v>22</v>
      </c>
      <c r="D11" s="16" t="str">
        <f aca="false">IFERROR(INDEX(Categorías!$B$2:$B$16,MATCH(C11,Categorías!$A$2:$A$16,0)),"")</f>
        <v>Ocio</v>
      </c>
      <c r="E11" s="17" t="n">
        <v>5.3</v>
      </c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 t="n">
        <v>46262</v>
      </c>
      <c r="B12" s="15" t="s">
        <v>86</v>
      </c>
      <c r="C12" s="15" t="s">
        <v>23</v>
      </c>
      <c r="D12" s="16" t="str">
        <f aca="false">IFERROR(INDEX(Categorías!$B$2:$B$16,MATCH(C12,Categorías!$A$2:$A$16,0)),"")</f>
        <v>Ocio</v>
      </c>
      <c r="E12" s="17" t="n">
        <v>3.6</v>
      </c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6.35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70.15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6.35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76.5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11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{F92737BB-1123-4D52-9753-3BE194EEEAF3}</x14:id>
        </ext>
      </extLst>
    </cfRule>
  </conditionalFormatting>
  <conditionalFormatting sqref="E9">
    <cfRule type="dataBar" priority="3">
      <dataBar showValue="1" minLength="10" maxLength="90">
        <cfvo type="min" val="0"/>
        <cfvo type="max" val="0"/>
        <color rgb="FFFF555A"/>
      </dataBar>
      <extLst>
        <ext xmlns:x14="http://schemas.microsoft.com/office/spreadsheetml/2009/9/main" uri="{B025F937-C7B1-47D3-B67F-A62EFF666E3E}">
          <x14:id>{F2F95F6A-821D-4D21-AEF2-BDD2B938C5B5}</x14:id>
        </ext>
      </extLst>
    </cfRule>
    <cfRule type="dataBar" priority="4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{45733BB0-FD8C-4548-8E7D-C42FABEBB58A}</x14:id>
        </ext>
      </extLst>
    </cfRule>
  </conditionalFormatting>
  <conditionalFormatting sqref="E1:E8 E10 E12:E1048576">
    <cfRule type="dataBar" priority="5">
      <dataBar showValue="1" minLength="10" maxLength="90">
        <cfvo type="min" val="0"/>
        <cfvo type="max" val="0"/>
        <color rgb="FFFF555A"/>
      </dataBar>
      <extLst>
        <ext xmlns:x14="http://schemas.microsoft.com/office/spreadsheetml/2009/9/main" uri="{B025F937-C7B1-47D3-B67F-A62EFF666E3E}">
          <x14:id>{C083C5BB-98F4-4B46-B3D7-555AD4504DA7}</x14:id>
        </ext>
      </extLst>
    </cfRule>
  </conditionalFormatting>
  <conditionalFormatting sqref="E4">
    <cfRule type="dataBar" priority="6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{8DAE434C-508C-431F-9E8C-EB10502ECA40}</x14:id>
        </ext>
      </extLst>
    </cfRule>
  </conditionalFormatting>
  <conditionalFormatting sqref="E3 E5:E8 E10 E12:E32">
    <cfRule type="dataBar" priority="7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{FAFAF819-D177-458E-8EB5-717BA24B2349}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2737BB-1123-4D52-9753-3BE194EEEAF3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E11</xm:sqref>
        </x14:conditionalFormatting>
        <x14:conditionalFormatting xmlns:xm="http://schemas.microsoft.com/office/excel/2006/main">
          <x14:cfRule type="dataBar" id="{F2F95F6A-821D-4D21-AEF2-BDD2B938C5B5}">
            <x14:dataBar minLength="10" maxLength="90" axisPosition="none" gradient="true">
              <x14:cfvo type="min"/>
              <x14:cfvo type="max"/>
              <x14:negativeFillColor rgb="FFFF555A"/>
              <x14:axisColor rgb="FF000000"/>
            </x14:dataBar>
          </x14:cfRule>
          <x14:cfRule type="dataBar" id="{45733BB0-FD8C-4548-8E7D-C42FABEBB58A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E9</xm:sqref>
        </x14:conditionalFormatting>
        <x14:conditionalFormatting xmlns:xm="http://schemas.microsoft.com/office/excel/2006/main">
          <x14:cfRule type="dataBar" id="{C083C5BB-98F4-4B46-B3D7-555AD4504DA7}">
            <x14:dataBar minLength="10" maxLength="90" axisPosition="none" gradient="true">
              <x14:cfvo type="min"/>
              <x14:cfvo type="max"/>
              <x14:negativeFillColor rgb="FFFF555A"/>
              <x14:axisColor rgb="FF000000"/>
            </x14:dataBar>
          </x14:cfRule>
          <xm:sqref>E1:E8 E10 E12:E1048576</xm:sqref>
        </x14:conditionalFormatting>
        <x14:conditionalFormatting xmlns:xm="http://schemas.microsoft.com/office/excel/2006/main">
          <x14:cfRule type="dataBar" id="{8DAE434C-508C-431F-9E8C-EB10502ECA40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E4</xm:sqref>
        </x14:conditionalFormatting>
        <x14:conditionalFormatting xmlns:xm="http://schemas.microsoft.com/office/excel/2006/main">
          <x14:cfRule type="dataBar" id="{FAFAF819-D177-458E-8EB5-717BA24B2349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 E5:E8 E10 E12:E32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87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{ECD6E7F8-C019-49F2-B918-AF3235908010}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D6E7F8-C019-49F2-B918-AF3235908010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88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{51D0F1A7-57F8-47CF-A098-F29F3E832B47}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D0F1A7-57F8-47CF-A098-F29F3E832B47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89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{7F77CC79-41D1-4B51-8646-303B54AD40E5}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77CC79-41D1-4B51-8646-303B54AD40E5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true" outlineLevel="0" max="9" min="9" style="0" width="10"/>
  </cols>
  <sheetData>
    <row r="1" customFormat="false" ht="21.75" hidden="false" customHeight="true" outlineLevel="0" collapsed="false">
      <c r="A1" s="18" t="s">
        <v>90</v>
      </c>
      <c r="B1" s="18"/>
      <c r="C1" s="18"/>
      <c r="D1" s="18"/>
      <c r="E1" s="18"/>
    </row>
    <row r="2" customFormat="false" ht="15" hidden="false" customHeight="true" outlineLevel="0" collapsed="false">
      <c r="A2" s="2" t="s">
        <v>51</v>
      </c>
      <c r="B2" s="2" t="s">
        <v>52</v>
      </c>
      <c r="C2" s="2" t="s">
        <v>1</v>
      </c>
      <c r="D2" s="2" t="s">
        <v>2</v>
      </c>
      <c r="E2" s="2" t="s">
        <v>53</v>
      </c>
      <c r="G2" s="19" t="s">
        <v>60</v>
      </c>
      <c r="H2" s="19"/>
    </row>
    <row r="3" customFormat="false" ht="15" hidden="false" customHeight="true" outlineLevel="0" collapsed="false">
      <c r="A3" s="14"/>
      <c r="B3" s="15"/>
      <c r="C3" s="15"/>
      <c r="D3" s="16" t="str">
        <f aca="false">IFERROR(INDEX(Categorías!$B$2:$B$16,MATCH(C3,Categorías!$A$2:$A$16,0)),"")</f>
        <v/>
      </c>
      <c r="E3" s="17"/>
      <c r="G3" s="3" t="str">
        <f aca="false">Categorías!A2</f>
        <v>Videojuegos</v>
      </c>
      <c r="H3" s="20" t="n">
        <f aca="false">SUMIF($C$3:$C$32,G3,$E$3:$E$32)</f>
        <v>0</v>
      </c>
      <c r="I3" s="21" t="str">
        <f aca="false">Categorías!B2</f>
        <v>Ocio</v>
      </c>
    </row>
    <row r="4" customFormat="false" ht="15" hidden="false" customHeight="true" outlineLevel="0" collapsed="false">
      <c r="A4" s="14"/>
      <c r="B4" s="15"/>
      <c r="C4" s="15"/>
      <c r="D4" s="16" t="str">
        <f aca="false">IFERROR(INDEX(Categorías!$B$2:$B$16,MATCH(C4,Categorías!$A$2:$A$16,0)),"")</f>
        <v/>
      </c>
      <c r="E4" s="17"/>
      <c r="G4" s="3" t="str">
        <f aca="false">Categorías!A3</f>
        <v>Apuestas</v>
      </c>
      <c r="H4" s="20" t="n">
        <f aca="false">SUMIF($C$3:$C$32,G4,$E$3:$E$32)</f>
        <v>0</v>
      </c>
      <c r="I4" s="21" t="str">
        <f aca="false">Categorías!B3</f>
        <v>Ocio</v>
      </c>
    </row>
    <row r="5" customFormat="false" ht="15" hidden="false" customHeight="true" outlineLevel="0" collapsed="false">
      <c r="A5" s="14"/>
      <c r="B5" s="15"/>
      <c r="C5" s="15"/>
      <c r="D5" s="16" t="str">
        <f aca="false">IFERROR(INDEX(Categorías!$B$2:$B$16,MATCH(C5,Categorías!$A$2:$A$16,0)),"")</f>
        <v/>
      </c>
      <c r="E5" s="17"/>
      <c r="G5" s="3" t="str">
        <f aca="false">Categorías!A4</f>
        <v>Salidas/Ocio</v>
      </c>
      <c r="H5" s="20" t="n">
        <f aca="false">SUMIF($C$3:$C$32,G5,$E$3:$E$32)</f>
        <v>0</v>
      </c>
      <c r="I5" s="21" t="str">
        <f aca="false">Categorías!B4</f>
        <v>Ocio</v>
      </c>
    </row>
    <row r="6" customFormat="false" ht="15" hidden="false" customHeight="true" outlineLevel="0" collapsed="false">
      <c r="A6" s="14"/>
      <c r="B6" s="15"/>
      <c r="C6" s="15"/>
      <c r="D6" s="16" t="str">
        <f aca="false">IFERROR(INDEX(Categorías!$B$2:$B$16,MATCH(C6,Categorías!$A$2:$A$16,0)),"")</f>
        <v/>
      </c>
      <c r="E6" s="17"/>
      <c r="G6" s="3" t="str">
        <f aca="false">Categorías!A5</f>
        <v>Suscripciones ocio</v>
      </c>
      <c r="H6" s="20" t="n">
        <f aca="false">SUMIF($C$3:$C$32,G6,$E$3:$E$32)</f>
        <v>0</v>
      </c>
      <c r="I6" s="21" t="str">
        <f aca="false">Categorías!B5</f>
        <v>Ocio</v>
      </c>
    </row>
    <row r="7" customFormat="false" ht="15" hidden="false" customHeight="true" outlineLevel="0" collapsed="false">
      <c r="A7" s="14"/>
      <c r="B7" s="15"/>
      <c r="C7" s="15"/>
      <c r="D7" s="16" t="str">
        <f aca="false">IFERROR(INDEX(Categorías!$B$2:$B$16,MATCH(C7,Categorías!$A$2:$A$16,0)),"")</f>
        <v/>
      </c>
      <c r="E7" s="17"/>
      <c r="G7" s="3" t="str">
        <f aca="false">Categorías!A6</f>
        <v>Viajes</v>
      </c>
      <c r="H7" s="20" t="n">
        <f aca="false">SUMIF($C$3:$C$32,G7,$E$3:$E$32)</f>
        <v>0</v>
      </c>
      <c r="I7" s="21" t="str">
        <f aca="false">Categorías!B6</f>
        <v>Ocio</v>
      </c>
    </row>
    <row r="8" customFormat="false" ht="15" hidden="false" customHeight="true" outlineLevel="0" collapsed="false">
      <c r="A8" s="14"/>
      <c r="B8" s="15"/>
      <c r="C8" s="15"/>
      <c r="D8" s="16" t="str">
        <f aca="false">IFERROR(INDEX(Categorías!$B$2:$B$16,MATCH(C8,Categorías!$A$2:$A$16,0)),"")</f>
        <v/>
      </c>
      <c r="E8" s="17"/>
      <c r="G8" s="3" t="str">
        <f aca="false">Categorías!A7</f>
        <v>Padel</v>
      </c>
      <c r="H8" s="20" t="n">
        <f aca="false">SUMIF($C$3:$C$32,G8,$E$3:$E$32)</f>
        <v>0</v>
      </c>
      <c r="I8" s="21" t="str">
        <f aca="false">Categorías!B7</f>
        <v>Ocio</v>
      </c>
    </row>
    <row r="9" customFormat="false" ht="15" hidden="false" customHeight="true" outlineLevel="0" collapsed="false">
      <c r="A9" s="14"/>
      <c r="B9" s="15"/>
      <c r="C9" s="15"/>
      <c r="D9" s="16" t="str">
        <f aca="false">IFERROR(INDEX(Categorías!$B$2:$B$16,MATCH(C9,Categorías!$A$2:$A$16,0)),"")</f>
        <v/>
      </c>
      <c r="E9" s="17"/>
      <c r="G9" s="3" t="str">
        <f aca="false">Categorías!A8</f>
        <v>Alimentación</v>
      </c>
      <c r="H9" s="20" t="n">
        <f aca="false">SUMIF($C$3:$C$32,G9,$E$3:$E$32)</f>
        <v>0</v>
      </c>
      <c r="I9" s="21" t="str">
        <f aca="false">Categorías!B8</f>
        <v>Ocio</v>
      </c>
    </row>
    <row r="10" customFormat="false" ht="15" hidden="false" customHeight="true" outlineLevel="0" collapsed="false">
      <c r="A10" s="14"/>
      <c r="B10" s="15"/>
      <c r="C10" s="15"/>
      <c r="D10" s="16" t="str">
        <f aca="false">IFERROR(INDEX(Categorías!$B$2:$B$16,MATCH(C10,Categorías!$A$2:$A$16,0)),"")</f>
        <v/>
      </c>
      <c r="E10" s="17"/>
      <c r="G10" s="3" t="str">
        <f aca="false">Categorías!A9</f>
        <v>Barça</v>
      </c>
      <c r="H10" s="20" t="n">
        <f aca="false">SUMIF($C$3:$C$32,G10,$E$3:$E$32)</f>
        <v>0</v>
      </c>
      <c r="I10" s="21" t="str">
        <f aca="false">Categorías!B9</f>
        <v>Ocio</v>
      </c>
    </row>
    <row r="11" customFormat="false" ht="15" hidden="false" customHeight="true" outlineLevel="0" collapsed="false">
      <c r="A11" s="14"/>
      <c r="B11" s="15"/>
      <c r="C11" s="15"/>
      <c r="D11" s="16" t="str">
        <f aca="false">IFERROR(INDEX(Categorías!$B$2:$B$16,MATCH(C11,Categorías!$A$2:$A$16,0)),"")</f>
        <v/>
      </c>
      <c r="E11" s="17"/>
      <c r="G11" s="3" t="str">
        <f aca="false">Categorías!A10</f>
        <v>Vivienda/Alquiler</v>
      </c>
      <c r="H11" s="20" t="n">
        <f aca="false">SUMIF($C$3:$C$32,G11,$E$3:$E$32)</f>
        <v>0</v>
      </c>
      <c r="I11" s="21" t="str">
        <f aca="false">Categorías!B10</f>
        <v>Ordinario</v>
      </c>
    </row>
    <row r="12" customFormat="false" ht="15" hidden="false" customHeight="true" outlineLevel="0" collapsed="false">
      <c r="A12" s="14"/>
      <c r="B12" s="15"/>
      <c r="C12" s="15"/>
      <c r="D12" s="16" t="str">
        <f aca="false">IFERROR(INDEX(Categorías!$B$2:$B$16,MATCH(C12,Categorías!$A$2:$A$16,0)),"")</f>
        <v/>
      </c>
      <c r="E12" s="17"/>
      <c r="G12" s="3" t="str">
        <f aca="false">Categorías!A11</f>
        <v>Transporte</v>
      </c>
      <c r="H12" s="20" t="n">
        <f aca="false">SUMIF($C$3:$C$32,G12,$E$3:$E$32)</f>
        <v>0</v>
      </c>
      <c r="I12" s="21" t="str">
        <f aca="false">Categorías!B11</f>
        <v>Ordinario</v>
      </c>
    </row>
    <row r="13" customFormat="false" ht="15" hidden="false" customHeight="true" outlineLevel="0" collapsed="false">
      <c r="A13" s="14"/>
      <c r="B13" s="15"/>
      <c r="C13" s="15"/>
      <c r="D13" s="16" t="str">
        <f aca="false">IFERROR(INDEX(Categorías!$B$2:$B$16,MATCH(C13,Categorías!$A$2:$A$16,0)),"")</f>
        <v/>
      </c>
      <c r="E13" s="17"/>
      <c r="G13" s="3" t="str">
        <f aca="false">Categorías!A12</f>
        <v>Salud</v>
      </c>
      <c r="H13" s="20" t="n">
        <f aca="false">SUMIF($C$3:$C$32,G13,$E$3:$E$32)</f>
        <v>0</v>
      </c>
      <c r="I13" s="21" t="str">
        <f aca="false">Categorías!B12</f>
        <v>Ordinario</v>
      </c>
    </row>
    <row r="14" customFormat="false" ht="15" hidden="false" customHeight="true" outlineLevel="0" collapsed="false">
      <c r="A14" s="14"/>
      <c r="B14" s="15"/>
      <c r="C14" s="15"/>
      <c r="D14" s="16" t="str">
        <f aca="false">IFERROR(INDEX(Categorías!$B$2:$B$16,MATCH(C14,Categorías!$A$2:$A$16,0)),"")</f>
        <v/>
      </c>
      <c r="E14" s="17"/>
      <c r="G14" s="3" t="str">
        <f aca="false">Categorías!A13</f>
        <v>Barbero</v>
      </c>
      <c r="H14" s="20" t="n">
        <f aca="false">SUMIF($C$3:$C$32,G14,$E$3:$E$32)</f>
        <v>0</v>
      </c>
      <c r="I14" s="21" t="str">
        <f aca="false">Categorías!B13</f>
        <v>Ordinario</v>
      </c>
    </row>
    <row r="15" customFormat="false" ht="15" hidden="false" customHeight="true" outlineLevel="0" collapsed="false">
      <c r="A15" s="14"/>
      <c r="B15" s="15"/>
      <c r="C15" s="15"/>
      <c r="D15" s="16" t="str">
        <f aca="false">IFERROR(INDEX(Categorías!$B$2:$B$16,MATCH(C15,Categorías!$A$2:$A$16,0)),"")</f>
        <v/>
      </c>
      <c r="E15" s="17"/>
      <c r="G15" s="3" t="str">
        <f aca="false">Categorías!A14</f>
        <v>Otros</v>
      </c>
      <c r="H15" s="20" t="n">
        <f aca="false">SUMIF($C$3:$C$32,G15,$E$3:$E$32)</f>
        <v>0</v>
      </c>
      <c r="I15" s="21" t="str">
        <f aca="false">Categorías!B14</f>
        <v>Ordinario</v>
      </c>
    </row>
    <row r="16" customFormat="false" ht="15" hidden="false" customHeight="true" outlineLevel="0" collapsed="false">
      <c r="A16" s="14"/>
      <c r="B16" s="15"/>
      <c r="C16" s="15"/>
      <c r="D16" s="16" t="str">
        <f aca="false">IFERROR(INDEX(Categorías!$B$2:$B$16,MATCH(C16,Categorías!$A$2:$A$16,0)),"")</f>
        <v/>
      </c>
      <c r="E16" s="17"/>
      <c r="G16" s="3" t="str">
        <f aca="false">Categorías!A15</f>
        <v>Burocracia</v>
      </c>
      <c r="H16" s="20" t="n">
        <f aca="false">SUMIF($C$3:$C$32,G16,$E$3:$E$32)</f>
        <v>0</v>
      </c>
      <c r="I16" s="21" t="str">
        <f aca="false">Categorías!B15</f>
        <v>Extraordinario</v>
      </c>
    </row>
    <row r="17" customFormat="false" ht="15" hidden="false" customHeight="true" outlineLevel="0" collapsed="false">
      <c r="A17" s="14"/>
      <c r="B17" s="15"/>
      <c r="C17" s="15"/>
      <c r="D17" s="16" t="str">
        <f aca="false">IFERROR(INDEX(Categorías!$B$2:$B$16,MATCH(C17,Categorías!$A$2:$A$16,0)),"")</f>
        <v/>
      </c>
      <c r="E17" s="17"/>
      <c r="G17" s="22" t="str">
        <f aca="false">Categorías!A16</f>
        <v>Regalos</v>
      </c>
      <c r="H17" s="23" t="n">
        <f aca="false">SUMIF($C$3:$C$32,G17,$E$3:$E$32)</f>
        <v>0</v>
      </c>
      <c r="I17" s="21" t="str">
        <f aca="false">Categorías!B16</f>
        <v>Extraordinario</v>
      </c>
    </row>
    <row r="18" customFormat="false" ht="15" hidden="false" customHeight="true" outlineLevel="0" collapsed="false">
      <c r="A18" s="14"/>
      <c r="B18" s="15"/>
      <c r="C18" s="15"/>
      <c r="D18" s="16" t="str">
        <f aca="false">IFERROR(INDEX(Categorías!$B$2:$B$16,MATCH(C18,Categorías!$A$2:$A$16,0)),"")</f>
        <v/>
      </c>
      <c r="E18" s="17"/>
      <c r="G18" s="0" t="str">
        <f aca="false">Categorías!A17</f>
        <v>Multas</v>
      </c>
      <c r="H18" s="0" t="n">
        <f aca="false">SUMIF($C$3:$C$32,G18,$E$3:$E$32)</f>
        <v>0</v>
      </c>
      <c r="I18" s="0" t="str">
        <f aca="false">Categorías!B17</f>
        <v>Extraordinario</v>
      </c>
    </row>
    <row r="19" customFormat="false" ht="15" hidden="false" customHeight="true" outlineLevel="0" collapsed="false">
      <c r="A19" s="14"/>
      <c r="B19" s="15"/>
      <c r="C19" s="15"/>
      <c r="D19" s="16" t="str">
        <f aca="false">IFERROR(INDEX(Categorías!$B$2:$B$16,MATCH(C19,Categorías!$A$2:$A$16,0)),"")</f>
        <v/>
      </c>
      <c r="E19" s="17"/>
    </row>
    <row r="20" customFormat="false" ht="15" hidden="false" customHeight="true" outlineLevel="0" collapsed="false">
      <c r="A20" s="14"/>
      <c r="B20" s="15"/>
      <c r="C20" s="15"/>
      <c r="D20" s="16" t="str">
        <f aca="false">IFERROR(INDEX(Categorías!$B$2:$B$16,MATCH(C20,Categorías!$A$2:$A$16,0)),"")</f>
        <v/>
      </c>
      <c r="E20" s="17"/>
      <c r="G20" s="9" t="s">
        <v>34</v>
      </c>
      <c r="H20" s="24" t="n">
        <f aca="false">SUMIF($I$3:$I$18,"Ocio",$H$3:$H$18)</f>
        <v>0</v>
      </c>
    </row>
    <row r="21" customFormat="false" ht="15" hidden="false" customHeight="true" outlineLevel="0" collapsed="false">
      <c r="A21" s="14"/>
      <c r="B21" s="15"/>
      <c r="C21" s="15"/>
      <c r="D21" s="16" t="str">
        <f aca="false">IFERROR(INDEX(Categorías!$B$2:$B$16,MATCH(C21,Categorías!$A$2:$A$16,0)),"")</f>
        <v/>
      </c>
      <c r="E21" s="17"/>
      <c r="G21" s="9" t="s">
        <v>35</v>
      </c>
      <c r="H21" s="24" t="n">
        <f aca="false">SUMIF($I$3:$I$18,"Ordinario",$H$3:$H$18)</f>
        <v>0</v>
      </c>
    </row>
    <row r="22" customFormat="false" ht="15" hidden="false" customHeight="true" outlineLevel="0" collapsed="false">
      <c r="A22" s="14"/>
      <c r="B22" s="15"/>
      <c r="C22" s="15"/>
      <c r="D22" s="16" t="str">
        <f aca="false">IFERROR(INDEX(Categorías!$B$2:$B$16,MATCH(C22,Categorías!$A$2:$A$16,0)),"")</f>
        <v/>
      </c>
      <c r="E22" s="17"/>
      <c r="G22" s="9" t="s">
        <v>36</v>
      </c>
      <c r="H22" s="24" t="n">
        <f aca="false">SUMIF($I$3:$I$18,"Extraordinario",$H$3:$H$18)</f>
        <v>0</v>
      </c>
    </row>
    <row r="23" customFormat="false" ht="15" hidden="false" customHeight="true" outlineLevel="0" collapsed="false">
      <c r="A23" s="14"/>
      <c r="B23" s="15"/>
      <c r="C23" s="15"/>
      <c r="D23" s="16" t="str">
        <f aca="false">IFERROR(INDEX(Categorías!$B$2:$B$16,MATCH(C23,Categorías!$A$2:$A$16,0)),"")</f>
        <v/>
      </c>
      <c r="E23" s="17"/>
      <c r="G23" s="7" t="s">
        <v>61</v>
      </c>
      <c r="H23" s="8" t="n">
        <f aca="false">SUM($E$3:$E$32)</f>
        <v>0</v>
      </c>
    </row>
    <row r="24" customFormat="false" ht="15" hidden="false" customHeight="true" outlineLevel="0" collapsed="false">
      <c r="A24" s="14"/>
      <c r="B24" s="15"/>
      <c r="C24" s="15"/>
      <c r="D24" s="16" t="str">
        <f aca="false">IFERROR(INDEX(Categorías!$B$2:$B$16,MATCH(C24,Categorías!$A$2:$A$16,0)),"")</f>
        <v/>
      </c>
      <c r="E24" s="17"/>
    </row>
    <row r="25" customFormat="false" ht="15" hidden="false" customHeight="true" outlineLevel="0" collapsed="false">
      <c r="A25" s="14"/>
      <c r="B25" s="15"/>
      <c r="C25" s="15"/>
      <c r="D25" s="16" t="str">
        <f aca="false">IFERROR(INDEX(Categorías!$B$2:$B$16,MATCH(C25,Categorías!$A$2:$A$16,0)),"")</f>
        <v/>
      </c>
      <c r="E25" s="17"/>
    </row>
    <row r="26" customFormat="false" ht="15" hidden="false" customHeight="true" outlineLevel="0" collapsed="false">
      <c r="A26" s="14"/>
      <c r="B26" s="15"/>
      <c r="C26" s="15"/>
      <c r="D26" s="16" t="str">
        <f aca="false">IFERROR(INDEX(Categorías!$B$2:$B$16,MATCH(C26,Categorías!$A$2:$A$16,0)),"")</f>
        <v/>
      </c>
      <c r="E26" s="17"/>
    </row>
    <row r="27" customFormat="false" ht="15" hidden="false" customHeight="true" outlineLevel="0" collapsed="false">
      <c r="A27" s="14"/>
      <c r="B27" s="15"/>
      <c r="C27" s="15"/>
      <c r="D27" s="16" t="str">
        <f aca="false">IFERROR(INDEX(Categorías!$B$2:$B$16,MATCH(C27,Categorías!$A$2:$A$16,0)),"")</f>
        <v/>
      </c>
      <c r="E27" s="17"/>
    </row>
    <row r="28" customFormat="false" ht="15" hidden="false" customHeight="true" outlineLevel="0" collapsed="false">
      <c r="A28" s="14"/>
      <c r="B28" s="15"/>
      <c r="C28" s="15"/>
      <c r="D28" s="16" t="str">
        <f aca="false">IFERROR(INDEX(Categorías!$B$2:$B$16,MATCH(C28,Categorías!$A$2:$A$16,0)),"")</f>
        <v/>
      </c>
      <c r="E28" s="17"/>
    </row>
    <row r="29" customFormat="false" ht="15" hidden="false" customHeight="true" outlineLevel="0" collapsed="false">
      <c r="A29" s="14"/>
      <c r="B29" s="15"/>
      <c r="C29" s="15"/>
      <c r="D29" s="16" t="str">
        <f aca="false">IFERROR(INDEX(Categorías!$B$2:$B$16,MATCH(C29,Categorías!$A$2:$A$16,0)),"")</f>
        <v/>
      </c>
      <c r="E29" s="17"/>
    </row>
    <row r="30" customFormat="false" ht="15" hidden="false" customHeight="true" outlineLevel="0" collapsed="false">
      <c r="A30" s="14"/>
      <c r="B30" s="15"/>
      <c r="C30" s="15"/>
      <c r="D30" s="16" t="str">
        <f aca="false">IFERROR(INDEX(Categorías!$B$2:$B$16,MATCH(C30,Categorías!$A$2:$A$16,0)),"")</f>
        <v/>
      </c>
      <c r="E30" s="17"/>
    </row>
    <row r="31" customFormat="false" ht="15" hidden="false" customHeight="true" outlineLevel="0" collapsed="false">
      <c r="A31" s="14"/>
      <c r="B31" s="15"/>
      <c r="C31" s="15"/>
      <c r="D31" s="16" t="str">
        <f aca="false">IFERROR(INDEX(Categorías!$B$2:$B$16,MATCH(C31,Categorías!$A$2:$A$16,0)),"")</f>
        <v/>
      </c>
      <c r="E31" s="17"/>
    </row>
    <row r="32" customFormat="false" ht="15" hidden="false" customHeight="true" outlineLevel="0" collapsed="false">
      <c r="A32" s="14"/>
      <c r="B32" s="15"/>
      <c r="C32" s="15"/>
      <c r="D32" s="16" t="str">
        <f aca="false">IFERROR(INDEX(Categorías!$B$2:$B$16,MATCH(C32,Categorías!$A$2:$A$16,0)),"")</f>
        <v/>
      </c>
      <c r="E32" s="17"/>
    </row>
  </sheetData>
  <mergeCells count="2">
    <mergeCell ref="A1:E1"/>
    <mergeCell ref="G2:H2"/>
  </mergeCells>
  <conditionalFormatting sqref="E3:E32">
    <cfRule type="dataBar" priority="2">
      <dataBar showValue="1" minLength="10" maxLength="90">
        <cfvo type="min" val="0"/>
        <cfvo type="max" val="0"/>
        <color rgb="FFFC605C"/>
      </dataBar>
      <extLst>
        <ext xmlns:x14="http://schemas.microsoft.com/office/spreadsheetml/2009/9/main" uri="{B025F937-C7B1-47D3-B67F-A62EFF666E3E}">
          <x14:id>{98645498-F4AC-426A-852B-FCABCEE25860}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645498-F4AC-426A-852B-FCABCEE25860}">
            <x14:dataBar minLength="10" maxLength="90" axisPosition="none" gradient="true">
              <x14:cfvo type="min"/>
              <x14:cfvo type="max"/>
              <x14:negativeFillColor rgb="FFFC605C"/>
              <x14:axisColor rgb="FF000000"/>
            </x14:dataBar>
          </x14:cfRule>
          <xm:sqref>E3:E32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2026-07-31T09:23:16Z</dcterms:created>
  <dc:creator>openpyxl</dc:creator>
  <dc:description/>
  <dc:language>en-US</dc:language>
  <cp:lastModifiedBy/>
  <dcterms:modified xsi:type="dcterms:W3CDTF">2026-09-02T11:41:29Z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