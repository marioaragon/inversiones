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ag\Documents\GitHub\inversiones\inversiones\"/>
    </mc:Choice>
  </mc:AlternateContent>
  <xr:revisionPtr revIDLastSave="0" documentId="13_ncr:1_{38EDA62A-B0F1-488B-AAFE-4033E4550F92}" xr6:coauthVersionLast="47" xr6:coauthVersionMax="47" xr10:uidLastSave="{00000000-0000-0000-0000-000000000000}"/>
  <bookViews>
    <workbookView xWindow="-120" yWindow="-120" windowWidth="20640" windowHeight="11040" tabRatio="500" xr2:uid="{00000000-000D-0000-FFFF-FFFF00000000}"/>
  </bookViews>
  <sheets>
    <sheet name="Visión General" sheetId="1" r:id="rId1"/>
    <sheet name="Instrucciones" sheetId="2" r:id="rId2"/>
    <sheet name="Categorías" sheetId="3" r:id="rId3"/>
    <sheet name="Enero" sheetId="4" r:id="rId4"/>
    <sheet name="Febrero" sheetId="5" r:id="rId5"/>
    <sheet name="Marzo" sheetId="6" r:id="rId6"/>
    <sheet name="Abril" sheetId="7" r:id="rId7"/>
    <sheet name="Mayo" sheetId="8" r:id="rId8"/>
    <sheet name="Junio" sheetId="9" r:id="rId9"/>
    <sheet name="Julio" sheetId="10" r:id="rId10"/>
    <sheet name="Agosto" sheetId="11" r:id="rId11"/>
    <sheet name="Septiembre" sheetId="12" r:id="rId12"/>
    <sheet name="Octubre" sheetId="13" r:id="rId13"/>
    <sheet name="Noviembre" sheetId="14" r:id="rId14"/>
    <sheet name="Diciembre" sheetId="15" r:id="rId15"/>
  </sheets>
  <calcPr calcId="19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1" i="1" l="1"/>
  <c r="D32" i="15"/>
  <c r="D31" i="15"/>
  <c r="D30" i="15"/>
  <c r="D29" i="15"/>
  <c r="D28" i="15"/>
  <c r="D27" i="15"/>
  <c r="H26" i="15"/>
  <c r="D26" i="15"/>
  <c r="D25" i="15"/>
  <c r="D24" i="15"/>
  <c r="D23" i="15"/>
  <c r="D22" i="15"/>
  <c r="D21" i="15"/>
  <c r="D20" i="15"/>
  <c r="I19" i="15"/>
  <c r="G19" i="15"/>
  <c r="H19" i="15" s="1"/>
  <c r="D19" i="15"/>
  <c r="I18" i="15"/>
  <c r="H18" i="15"/>
  <c r="G18" i="15"/>
  <c r="D18" i="15"/>
  <c r="I17" i="15"/>
  <c r="H17" i="15"/>
  <c r="G17" i="15"/>
  <c r="D17" i="15"/>
  <c r="I16" i="15"/>
  <c r="G16" i="15"/>
  <c r="H16" i="15" s="1"/>
  <c r="H23" i="15" s="1"/>
  <c r="D16" i="15"/>
  <c r="I15" i="15"/>
  <c r="H15" i="15"/>
  <c r="G15" i="15"/>
  <c r="D15" i="15"/>
  <c r="I14" i="15"/>
  <c r="H14" i="15"/>
  <c r="G14" i="15"/>
  <c r="D14" i="15"/>
  <c r="I13" i="15"/>
  <c r="G13" i="15"/>
  <c r="H13" i="15" s="1"/>
  <c r="D13" i="15"/>
  <c r="I12" i="15"/>
  <c r="H12" i="15"/>
  <c r="G12" i="15"/>
  <c r="D12" i="15"/>
  <c r="I11" i="15"/>
  <c r="H11" i="15"/>
  <c r="G11" i="15"/>
  <c r="D11" i="15"/>
  <c r="I10" i="15"/>
  <c r="G10" i="15"/>
  <c r="H10" i="15" s="1"/>
  <c r="D10" i="15"/>
  <c r="I9" i="15"/>
  <c r="H9" i="15"/>
  <c r="G9" i="15"/>
  <c r="D9" i="15"/>
  <c r="I8" i="15"/>
  <c r="H8" i="15"/>
  <c r="G8" i="15"/>
  <c r="D8" i="15"/>
  <c r="I7" i="15"/>
  <c r="G7" i="15"/>
  <c r="H7" i="15" s="1"/>
  <c r="D7" i="15"/>
  <c r="I6" i="15"/>
  <c r="H6" i="15"/>
  <c r="G6" i="15"/>
  <c r="D6" i="15"/>
  <c r="I5" i="15"/>
  <c r="H5" i="15"/>
  <c r="G5" i="15"/>
  <c r="D5" i="15"/>
  <c r="I4" i="15"/>
  <c r="G4" i="15"/>
  <c r="H4" i="15" s="1"/>
  <c r="D4" i="15"/>
  <c r="I3" i="15"/>
  <c r="H22" i="15" s="1"/>
  <c r="H3" i="15"/>
  <c r="G3" i="15"/>
  <c r="D3" i="15"/>
  <c r="D32" i="14"/>
  <c r="D31" i="14"/>
  <c r="D30" i="14"/>
  <c r="D29" i="14"/>
  <c r="D28" i="14"/>
  <c r="D27" i="14"/>
  <c r="H26" i="14"/>
  <c r="D26" i="14"/>
  <c r="D25" i="14"/>
  <c r="D24" i="14"/>
  <c r="D23" i="14"/>
  <c r="D22" i="14"/>
  <c r="D21" i="14"/>
  <c r="D20" i="14"/>
  <c r="I19" i="14"/>
  <c r="G19" i="14"/>
  <c r="H19" i="14" s="1"/>
  <c r="D19" i="14"/>
  <c r="I18" i="14"/>
  <c r="G18" i="14"/>
  <c r="H18" i="14" s="1"/>
  <c r="D18" i="14"/>
  <c r="I17" i="14"/>
  <c r="H17" i="14"/>
  <c r="G17" i="14"/>
  <c r="D17" i="14"/>
  <c r="I16" i="14"/>
  <c r="G16" i="14"/>
  <c r="H16" i="14" s="1"/>
  <c r="D16" i="14"/>
  <c r="I15" i="14"/>
  <c r="G15" i="14"/>
  <c r="H15" i="14" s="1"/>
  <c r="D15" i="14"/>
  <c r="I14" i="14"/>
  <c r="H14" i="14"/>
  <c r="G14" i="14"/>
  <c r="D14" i="14"/>
  <c r="I13" i="14"/>
  <c r="G13" i="14"/>
  <c r="H13" i="14" s="1"/>
  <c r="D13" i="14"/>
  <c r="I12" i="14"/>
  <c r="G12" i="14"/>
  <c r="H12" i="14" s="1"/>
  <c r="D12" i="14"/>
  <c r="I11" i="14"/>
  <c r="H11" i="14"/>
  <c r="G11" i="14"/>
  <c r="D11" i="14"/>
  <c r="I10" i="14"/>
  <c r="G10" i="14"/>
  <c r="H10" i="14" s="1"/>
  <c r="D10" i="14"/>
  <c r="I9" i="14"/>
  <c r="G9" i="14"/>
  <c r="H9" i="14" s="1"/>
  <c r="D9" i="14"/>
  <c r="I8" i="14"/>
  <c r="H8" i="14"/>
  <c r="G8" i="14"/>
  <c r="D8" i="14"/>
  <c r="I7" i="14"/>
  <c r="G7" i="14"/>
  <c r="H7" i="14" s="1"/>
  <c r="D7" i="14"/>
  <c r="I6" i="14"/>
  <c r="G6" i="14"/>
  <c r="H6" i="14" s="1"/>
  <c r="D6" i="14"/>
  <c r="I5" i="14"/>
  <c r="H5" i="14"/>
  <c r="G5" i="14"/>
  <c r="D5" i="14"/>
  <c r="I4" i="14"/>
  <c r="G4" i="14"/>
  <c r="H4" i="14" s="1"/>
  <c r="D4" i="14"/>
  <c r="I3" i="14"/>
  <c r="G3" i="14"/>
  <c r="H3" i="14" s="1"/>
  <c r="D3" i="14"/>
  <c r="D32" i="13"/>
  <c r="D31" i="13"/>
  <c r="D30" i="13"/>
  <c r="D29" i="13"/>
  <c r="D28" i="13"/>
  <c r="D27" i="13"/>
  <c r="H26" i="13"/>
  <c r="D26" i="13"/>
  <c r="D25" i="13"/>
  <c r="D24" i="13"/>
  <c r="D23" i="13"/>
  <c r="D22" i="13"/>
  <c r="D21" i="13"/>
  <c r="D20" i="13"/>
  <c r="I19" i="13"/>
  <c r="H19" i="13"/>
  <c r="G19" i="13"/>
  <c r="D19" i="13"/>
  <c r="I18" i="13"/>
  <c r="G18" i="13"/>
  <c r="H18" i="13" s="1"/>
  <c r="D18" i="13"/>
  <c r="I17" i="13"/>
  <c r="G17" i="13"/>
  <c r="H17" i="13" s="1"/>
  <c r="D17" i="13"/>
  <c r="I16" i="13"/>
  <c r="H16" i="13"/>
  <c r="G16" i="13"/>
  <c r="D16" i="13"/>
  <c r="I15" i="13"/>
  <c r="G15" i="13"/>
  <c r="H15" i="13" s="1"/>
  <c r="D15" i="13"/>
  <c r="I14" i="13"/>
  <c r="G14" i="13"/>
  <c r="H14" i="13" s="1"/>
  <c r="D14" i="13"/>
  <c r="I13" i="13"/>
  <c r="H13" i="13"/>
  <c r="G13" i="13"/>
  <c r="D13" i="13"/>
  <c r="I12" i="13"/>
  <c r="G12" i="13"/>
  <c r="H12" i="13" s="1"/>
  <c r="D12" i="13"/>
  <c r="I11" i="13"/>
  <c r="G11" i="13"/>
  <c r="H11" i="13" s="1"/>
  <c r="D11" i="13"/>
  <c r="I10" i="13"/>
  <c r="H10" i="13"/>
  <c r="G10" i="13"/>
  <c r="D10" i="13"/>
  <c r="I9" i="13"/>
  <c r="G9" i="13"/>
  <c r="H9" i="13" s="1"/>
  <c r="D9" i="13"/>
  <c r="I8" i="13"/>
  <c r="G8" i="13"/>
  <c r="H8" i="13" s="1"/>
  <c r="D8" i="13"/>
  <c r="I7" i="13"/>
  <c r="H7" i="13"/>
  <c r="G7" i="13"/>
  <c r="D7" i="13"/>
  <c r="I6" i="13"/>
  <c r="G6" i="13"/>
  <c r="H6" i="13" s="1"/>
  <c r="D6" i="13"/>
  <c r="I5" i="13"/>
  <c r="G5" i="13"/>
  <c r="H5" i="13" s="1"/>
  <c r="D5" i="13"/>
  <c r="I4" i="13"/>
  <c r="H4" i="13"/>
  <c r="G4" i="13"/>
  <c r="D4" i="13"/>
  <c r="I3" i="13"/>
  <c r="H25" i="13" s="1"/>
  <c r="G3" i="13"/>
  <c r="H3" i="13" s="1"/>
  <c r="D3" i="13"/>
  <c r="D32" i="12"/>
  <c r="D31" i="12"/>
  <c r="D30" i="12"/>
  <c r="D29" i="12"/>
  <c r="D28" i="12"/>
  <c r="D27" i="12"/>
  <c r="H26" i="12"/>
  <c r="D26" i="12"/>
  <c r="D25" i="12"/>
  <c r="D24" i="12"/>
  <c r="D23" i="12"/>
  <c r="D22" i="12"/>
  <c r="D21" i="12"/>
  <c r="D20" i="12"/>
  <c r="I19" i="12"/>
  <c r="H19" i="12"/>
  <c r="G19" i="12"/>
  <c r="D19" i="12"/>
  <c r="I18" i="12"/>
  <c r="H18" i="12"/>
  <c r="G18" i="12"/>
  <c r="D18" i="12"/>
  <c r="I17" i="12"/>
  <c r="G17" i="12"/>
  <c r="H17" i="12" s="1"/>
  <c r="D17" i="12"/>
  <c r="I16" i="12"/>
  <c r="H16" i="12"/>
  <c r="G16" i="12"/>
  <c r="D16" i="12"/>
  <c r="I15" i="12"/>
  <c r="H15" i="12"/>
  <c r="G15" i="12"/>
  <c r="D15" i="12"/>
  <c r="I14" i="12"/>
  <c r="G14" i="12"/>
  <c r="H14" i="12" s="1"/>
  <c r="D14" i="12"/>
  <c r="I13" i="12"/>
  <c r="H13" i="12"/>
  <c r="G13" i="12"/>
  <c r="D13" i="12"/>
  <c r="I12" i="12"/>
  <c r="H12" i="12"/>
  <c r="G12" i="12"/>
  <c r="D12" i="12"/>
  <c r="I11" i="12"/>
  <c r="G11" i="12"/>
  <c r="H11" i="12" s="1"/>
  <c r="D11" i="12"/>
  <c r="I10" i="12"/>
  <c r="H10" i="12"/>
  <c r="G10" i="12"/>
  <c r="D10" i="12"/>
  <c r="I9" i="12"/>
  <c r="H9" i="12"/>
  <c r="G9" i="12"/>
  <c r="D9" i="12"/>
  <c r="I8" i="12"/>
  <c r="G8" i="12"/>
  <c r="H8" i="12" s="1"/>
  <c r="D8" i="12"/>
  <c r="I7" i="12"/>
  <c r="H7" i="12"/>
  <c r="G7" i="12"/>
  <c r="D7" i="12"/>
  <c r="I6" i="12"/>
  <c r="H6" i="12"/>
  <c r="G6" i="12"/>
  <c r="D6" i="12"/>
  <c r="I5" i="12"/>
  <c r="G5" i="12"/>
  <c r="H5" i="12" s="1"/>
  <c r="D5" i="12"/>
  <c r="I4" i="12"/>
  <c r="H25" i="12" s="1"/>
  <c r="H4" i="12"/>
  <c r="G4" i="12"/>
  <c r="D4" i="12"/>
  <c r="I3" i="12"/>
  <c r="H3" i="12"/>
  <c r="G3" i="12"/>
  <c r="D3" i="12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I19" i="11"/>
  <c r="G19" i="11"/>
  <c r="H19" i="11" s="1"/>
  <c r="D19" i="11"/>
  <c r="I18" i="11"/>
  <c r="H18" i="11"/>
  <c r="G18" i="11"/>
  <c r="D18" i="11"/>
  <c r="I17" i="11"/>
  <c r="H17" i="11"/>
  <c r="G17" i="11"/>
  <c r="D17" i="11"/>
  <c r="I16" i="11"/>
  <c r="G16" i="11"/>
  <c r="H16" i="11" s="1"/>
  <c r="D16" i="11"/>
  <c r="I15" i="11"/>
  <c r="H15" i="11"/>
  <c r="G15" i="11"/>
  <c r="D15" i="11"/>
  <c r="I14" i="11"/>
  <c r="H14" i="11"/>
  <c r="G14" i="11"/>
  <c r="D14" i="11"/>
  <c r="I13" i="11"/>
  <c r="G13" i="11"/>
  <c r="H13" i="11" s="1"/>
  <c r="D13" i="11"/>
  <c r="I12" i="11"/>
  <c r="H12" i="11"/>
  <c r="G12" i="11"/>
  <c r="D12" i="11"/>
  <c r="I11" i="11"/>
  <c r="H11" i="11"/>
  <c r="G11" i="11"/>
  <c r="D11" i="11"/>
  <c r="I10" i="11"/>
  <c r="G10" i="11"/>
  <c r="H10" i="11" s="1"/>
  <c r="D10" i="11"/>
  <c r="I9" i="11"/>
  <c r="H9" i="11"/>
  <c r="G9" i="11"/>
  <c r="D9" i="11"/>
  <c r="I8" i="11"/>
  <c r="H8" i="11"/>
  <c r="G8" i="11"/>
  <c r="D8" i="11"/>
  <c r="I7" i="11"/>
  <c r="G7" i="11"/>
  <c r="H7" i="11" s="1"/>
  <c r="D7" i="11"/>
  <c r="I6" i="11"/>
  <c r="H6" i="11"/>
  <c r="G6" i="11"/>
  <c r="D6" i="11"/>
  <c r="I5" i="11"/>
  <c r="H5" i="11"/>
  <c r="G5" i="11"/>
  <c r="E5" i="11"/>
  <c r="H26" i="11" s="1"/>
  <c r="D5" i="11"/>
  <c r="I4" i="11"/>
  <c r="G4" i="11"/>
  <c r="H4" i="11" s="1"/>
  <c r="D4" i="11"/>
  <c r="I3" i="11"/>
  <c r="G3" i="11"/>
  <c r="H3" i="11" s="1"/>
  <c r="D3" i="11"/>
  <c r="D32" i="10"/>
  <c r="D31" i="10"/>
  <c r="D30" i="10"/>
  <c r="D29" i="10"/>
  <c r="D28" i="10"/>
  <c r="D27" i="10"/>
  <c r="H26" i="10"/>
  <c r="D26" i="10"/>
  <c r="D25" i="10"/>
  <c r="D24" i="10"/>
  <c r="D23" i="10"/>
  <c r="D22" i="10"/>
  <c r="D21" i="10"/>
  <c r="D20" i="10"/>
  <c r="I19" i="10"/>
  <c r="H19" i="10"/>
  <c r="G19" i="10"/>
  <c r="D19" i="10"/>
  <c r="I18" i="10"/>
  <c r="H18" i="10"/>
  <c r="G18" i="10"/>
  <c r="D18" i="10"/>
  <c r="I17" i="10"/>
  <c r="G17" i="10"/>
  <c r="H17" i="10" s="1"/>
  <c r="D17" i="10"/>
  <c r="I16" i="10"/>
  <c r="H16" i="10"/>
  <c r="G16" i="10"/>
  <c r="D16" i="10"/>
  <c r="I15" i="10"/>
  <c r="H15" i="10"/>
  <c r="G15" i="10"/>
  <c r="E15" i="10"/>
  <c r="D15" i="10"/>
  <c r="I14" i="10"/>
  <c r="G14" i="10"/>
  <c r="H14" i="10" s="1"/>
  <c r="D14" i="10"/>
  <c r="I13" i="10"/>
  <c r="G13" i="10"/>
  <c r="H13" i="10" s="1"/>
  <c r="D13" i="10"/>
  <c r="I12" i="10"/>
  <c r="G12" i="10"/>
  <c r="H12" i="10" s="1"/>
  <c r="D12" i="10"/>
  <c r="I11" i="10"/>
  <c r="G11" i="10"/>
  <c r="H11" i="10" s="1"/>
  <c r="D11" i="10"/>
  <c r="I10" i="10"/>
  <c r="G10" i="10"/>
  <c r="H10" i="10" s="1"/>
  <c r="D10" i="10"/>
  <c r="I9" i="10"/>
  <c r="G9" i="10"/>
  <c r="H9" i="10" s="1"/>
  <c r="D9" i="10"/>
  <c r="I8" i="10"/>
  <c r="G8" i="10"/>
  <c r="H8" i="10" s="1"/>
  <c r="D8" i="10"/>
  <c r="I7" i="10"/>
  <c r="G7" i="10"/>
  <c r="H7" i="10" s="1"/>
  <c r="D7" i="10"/>
  <c r="I6" i="10"/>
  <c r="H25" i="10" s="1"/>
  <c r="G6" i="10"/>
  <c r="H6" i="10" s="1"/>
  <c r="E6" i="10"/>
  <c r="D6" i="10"/>
  <c r="I5" i="10"/>
  <c r="H5" i="10"/>
  <c r="G5" i="10"/>
  <c r="D5" i="10"/>
  <c r="I4" i="10"/>
  <c r="G4" i="10"/>
  <c r="H4" i="10" s="1"/>
  <c r="D4" i="10"/>
  <c r="I3" i="10"/>
  <c r="G3" i="10"/>
  <c r="H3" i="10" s="1"/>
  <c r="D3" i="10"/>
  <c r="D32" i="9"/>
  <c r="D31" i="9"/>
  <c r="D30" i="9"/>
  <c r="D29" i="9"/>
  <c r="D28" i="9"/>
  <c r="D27" i="9"/>
  <c r="H26" i="9"/>
  <c r="D26" i="9"/>
  <c r="D25" i="9"/>
  <c r="D24" i="9"/>
  <c r="D23" i="9"/>
  <c r="D22" i="9"/>
  <c r="D21" i="9"/>
  <c r="D20" i="9"/>
  <c r="I19" i="9"/>
  <c r="G19" i="9"/>
  <c r="H19" i="9" s="1"/>
  <c r="D19" i="9"/>
  <c r="I18" i="9"/>
  <c r="G18" i="9"/>
  <c r="H18" i="9" s="1"/>
  <c r="D18" i="9"/>
  <c r="I17" i="9"/>
  <c r="G17" i="9"/>
  <c r="H17" i="9" s="1"/>
  <c r="D17" i="9"/>
  <c r="I16" i="9"/>
  <c r="G16" i="9"/>
  <c r="H16" i="9" s="1"/>
  <c r="D16" i="9"/>
  <c r="I15" i="9"/>
  <c r="G15" i="9"/>
  <c r="H15" i="9" s="1"/>
  <c r="D15" i="9"/>
  <c r="I14" i="9"/>
  <c r="G14" i="9"/>
  <c r="H14" i="9" s="1"/>
  <c r="D14" i="9"/>
  <c r="I13" i="9"/>
  <c r="G13" i="9"/>
  <c r="H13" i="9" s="1"/>
  <c r="D13" i="9"/>
  <c r="I12" i="9"/>
  <c r="G12" i="9"/>
  <c r="H12" i="9" s="1"/>
  <c r="D12" i="9"/>
  <c r="I11" i="9"/>
  <c r="G11" i="9"/>
  <c r="H11" i="9" s="1"/>
  <c r="D11" i="9"/>
  <c r="I10" i="9"/>
  <c r="G10" i="9"/>
  <c r="H10" i="9" s="1"/>
  <c r="D10" i="9"/>
  <c r="I9" i="9"/>
  <c r="G9" i="9"/>
  <c r="H9" i="9" s="1"/>
  <c r="D9" i="9"/>
  <c r="I8" i="9"/>
  <c r="G8" i="9"/>
  <c r="H8" i="9" s="1"/>
  <c r="D8" i="9"/>
  <c r="I7" i="9"/>
  <c r="G7" i="9"/>
  <c r="H7" i="9" s="1"/>
  <c r="D7" i="9"/>
  <c r="I6" i="9"/>
  <c r="G6" i="9"/>
  <c r="H6" i="9" s="1"/>
  <c r="D6" i="9"/>
  <c r="I5" i="9"/>
  <c r="G5" i="9"/>
  <c r="H5" i="9" s="1"/>
  <c r="D5" i="9"/>
  <c r="I4" i="9"/>
  <c r="G4" i="9"/>
  <c r="H4" i="9" s="1"/>
  <c r="D4" i="9"/>
  <c r="I3" i="9"/>
  <c r="G3" i="9"/>
  <c r="H3" i="9" s="1"/>
  <c r="D3" i="9"/>
  <c r="D32" i="8"/>
  <c r="D31" i="8"/>
  <c r="D30" i="8"/>
  <c r="D29" i="8"/>
  <c r="D28" i="8"/>
  <c r="D27" i="8"/>
  <c r="H26" i="8"/>
  <c r="D26" i="8"/>
  <c r="D25" i="8"/>
  <c r="D24" i="8"/>
  <c r="D23" i="8"/>
  <c r="D22" i="8"/>
  <c r="D21" i="8"/>
  <c r="D20" i="8"/>
  <c r="I19" i="8"/>
  <c r="H19" i="8"/>
  <c r="G19" i="8"/>
  <c r="D19" i="8"/>
  <c r="I18" i="8"/>
  <c r="H18" i="8"/>
  <c r="G18" i="8"/>
  <c r="D18" i="8"/>
  <c r="I17" i="8"/>
  <c r="H17" i="8"/>
  <c r="G17" i="8"/>
  <c r="D17" i="8"/>
  <c r="I16" i="8"/>
  <c r="H16" i="8"/>
  <c r="G16" i="8"/>
  <c r="D16" i="8"/>
  <c r="I15" i="8"/>
  <c r="H15" i="8"/>
  <c r="G15" i="8"/>
  <c r="D15" i="8"/>
  <c r="I14" i="8"/>
  <c r="H14" i="8"/>
  <c r="G14" i="8"/>
  <c r="D14" i="8"/>
  <c r="I13" i="8"/>
  <c r="H13" i="8"/>
  <c r="G13" i="8"/>
  <c r="D13" i="8"/>
  <c r="I12" i="8"/>
  <c r="H12" i="8"/>
  <c r="G12" i="8"/>
  <c r="D12" i="8"/>
  <c r="I11" i="8"/>
  <c r="H11" i="8"/>
  <c r="G11" i="8"/>
  <c r="D11" i="8"/>
  <c r="I10" i="8"/>
  <c r="H10" i="8"/>
  <c r="G10" i="8"/>
  <c r="D10" i="8"/>
  <c r="I9" i="8"/>
  <c r="H9" i="8"/>
  <c r="G9" i="8"/>
  <c r="D9" i="8"/>
  <c r="I8" i="8"/>
  <c r="H8" i="8"/>
  <c r="G8" i="8"/>
  <c r="D8" i="8"/>
  <c r="I7" i="8"/>
  <c r="H7" i="8"/>
  <c r="G7" i="8"/>
  <c r="D7" i="8"/>
  <c r="I6" i="8"/>
  <c r="H6" i="8"/>
  <c r="G6" i="8"/>
  <c r="D6" i="8"/>
  <c r="I5" i="8"/>
  <c r="H23" i="8" s="1"/>
  <c r="H5" i="8"/>
  <c r="H21" i="8" s="1"/>
  <c r="G5" i="8"/>
  <c r="D5" i="8"/>
  <c r="I4" i="8"/>
  <c r="H4" i="8"/>
  <c r="G4" i="8"/>
  <c r="D4" i="8"/>
  <c r="I3" i="8"/>
  <c r="H22" i="8" s="1"/>
  <c r="H3" i="8"/>
  <c r="G3" i="8"/>
  <c r="D3" i="8"/>
  <c r="D32" i="7"/>
  <c r="D31" i="7"/>
  <c r="D30" i="7"/>
  <c r="D29" i="7"/>
  <c r="D28" i="7"/>
  <c r="D27" i="7"/>
  <c r="H26" i="7"/>
  <c r="D26" i="7"/>
  <c r="D25" i="7"/>
  <c r="D24" i="7"/>
  <c r="D23" i="7"/>
  <c r="D22" i="7"/>
  <c r="D21" i="7"/>
  <c r="D20" i="7"/>
  <c r="I19" i="7"/>
  <c r="G19" i="7"/>
  <c r="H19" i="7" s="1"/>
  <c r="D19" i="7"/>
  <c r="I18" i="7"/>
  <c r="G18" i="7"/>
  <c r="H18" i="7" s="1"/>
  <c r="D18" i="7"/>
  <c r="I17" i="7"/>
  <c r="H17" i="7"/>
  <c r="G17" i="7"/>
  <c r="D17" i="7"/>
  <c r="I16" i="7"/>
  <c r="G16" i="7"/>
  <c r="H16" i="7" s="1"/>
  <c r="D16" i="7"/>
  <c r="I15" i="7"/>
  <c r="G15" i="7"/>
  <c r="H15" i="7" s="1"/>
  <c r="D15" i="7"/>
  <c r="I14" i="7"/>
  <c r="H14" i="7"/>
  <c r="G14" i="7"/>
  <c r="D14" i="7"/>
  <c r="I13" i="7"/>
  <c r="G13" i="7"/>
  <c r="H13" i="7" s="1"/>
  <c r="D13" i="7"/>
  <c r="I12" i="7"/>
  <c r="G12" i="7"/>
  <c r="H12" i="7" s="1"/>
  <c r="D12" i="7"/>
  <c r="I11" i="7"/>
  <c r="H11" i="7"/>
  <c r="G11" i="7"/>
  <c r="D11" i="7"/>
  <c r="I10" i="7"/>
  <c r="G10" i="7"/>
  <c r="H10" i="7" s="1"/>
  <c r="D10" i="7"/>
  <c r="I9" i="7"/>
  <c r="G9" i="7"/>
  <c r="H9" i="7" s="1"/>
  <c r="D9" i="7"/>
  <c r="I8" i="7"/>
  <c r="H8" i="7"/>
  <c r="G8" i="7"/>
  <c r="D8" i="7"/>
  <c r="I7" i="7"/>
  <c r="G7" i="7"/>
  <c r="H7" i="7" s="1"/>
  <c r="D7" i="7"/>
  <c r="I6" i="7"/>
  <c r="G6" i="7"/>
  <c r="H6" i="7" s="1"/>
  <c r="D6" i="7"/>
  <c r="I5" i="7"/>
  <c r="H5" i="7"/>
  <c r="G5" i="7"/>
  <c r="D5" i="7"/>
  <c r="I4" i="7"/>
  <c r="H25" i="7" s="1"/>
  <c r="G4" i="7"/>
  <c r="H4" i="7" s="1"/>
  <c r="D4" i="7"/>
  <c r="I3" i="7"/>
  <c r="H24" i="7" s="1"/>
  <c r="G3" i="7"/>
  <c r="H3" i="7" s="1"/>
  <c r="D3" i="7"/>
  <c r="D32" i="6"/>
  <c r="D31" i="6"/>
  <c r="D30" i="6"/>
  <c r="D29" i="6"/>
  <c r="D28" i="6"/>
  <c r="D27" i="6"/>
  <c r="H26" i="6"/>
  <c r="D26" i="6"/>
  <c r="D25" i="6"/>
  <c r="D24" i="6"/>
  <c r="D23" i="6"/>
  <c r="D22" i="6"/>
  <c r="D21" i="6"/>
  <c r="D20" i="6"/>
  <c r="I19" i="6"/>
  <c r="G19" i="6"/>
  <c r="H19" i="6" s="1"/>
  <c r="D19" i="6"/>
  <c r="I18" i="6"/>
  <c r="G18" i="6"/>
  <c r="H18" i="6" s="1"/>
  <c r="H24" i="6" s="1"/>
  <c r="D18" i="6"/>
  <c r="I17" i="6"/>
  <c r="H17" i="6"/>
  <c r="G17" i="6"/>
  <c r="D17" i="6"/>
  <c r="I16" i="6"/>
  <c r="G16" i="6"/>
  <c r="H16" i="6" s="1"/>
  <c r="D16" i="6"/>
  <c r="I15" i="6"/>
  <c r="G15" i="6"/>
  <c r="H15" i="6" s="1"/>
  <c r="D15" i="6"/>
  <c r="I14" i="6"/>
  <c r="H14" i="6"/>
  <c r="G14" i="6"/>
  <c r="D14" i="6"/>
  <c r="I13" i="6"/>
  <c r="G13" i="6"/>
  <c r="H13" i="6" s="1"/>
  <c r="D13" i="6"/>
  <c r="I12" i="6"/>
  <c r="G12" i="6"/>
  <c r="H12" i="6" s="1"/>
  <c r="D12" i="6"/>
  <c r="I11" i="6"/>
  <c r="H11" i="6"/>
  <c r="G11" i="6"/>
  <c r="D11" i="6"/>
  <c r="I10" i="6"/>
  <c r="G10" i="6"/>
  <c r="H10" i="6" s="1"/>
  <c r="D10" i="6"/>
  <c r="I9" i="6"/>
  <c r="G9" i="6"/>
  <c r="H9" i="6" s="1"/>
  <c r="D9" i="6"/>
  <c r="I8" i="6"/>
  <c r="H8" i="6"/>
  <c r="G8" i="6"/>
  <c r="D8" i="6"/>
  <c r="I7" i="6"/>
  <c r="G7" i="6"/>
  <c r="H7" i="6" s="1"/>
  <c r="D7" i="6"/>
  <c r="I6" i="6"/>
  <c r="G6" i="6"/>
  <c r="H6" i="6" s="1"/>
  <c r="D6" i="6"/>
  <c r="I5" i="6"/>
  <c r="H5" i="6"/>
  <c r="G5" i="6"/>
  <c r="D5" i="6"/>
  <c r="I4" i="6"/>
  <c r="G4" i="6"/>
  <c r="H4" i="6" s="1"/>
  <c r="D4" i="6"/>
  <c r="I3" i="6"/>
  <c r="G3" i="6"/>
  <c r="H3" i="6" s="1"/>
  <c r="D3" i="6"/>
  <c r="D32" i="5"/>
  <c r="D31" i="5"/>
  <c r="D30" i="5"/>
  <c r="D29" i="5"/>
  <c r="D28" i="5"/>
  <c r="D27" i="5"/>
  <c r="H26" i="5"/>
  <c r="D26" i="5"/>
  <c r="D25" i="5"/>
  <c r="D24" i="5"/>
  <c r="D23" i="5"/>
  <c r="D22" i="5"/>
  <c r="D21" i="5"/>
  <c r="D20" i="5"/>
  <c r="I19" i="5"/>
  <c r="G19" i="5"/>
  <c r="H19" i="5" s="1"/>
  <c r="D19" i="5"/>
  <c r="I18" i="5"/>
  <c r="G18" i="5"/>
  <c r="H18" i="5" s="1"/>
  <c r="D18" i="5"/>
  <c r="I17" i="5"/>
  <c r="G17" i="5"/>
  <c r="H17" i="5" s="1"/>
  <c r="D17" i="5"/>
  <c r="I16" i="5"/>
  <c r="G16" i="5"/>
  <c r="H16" i="5" s="1"/>
  <c r="D16" i="5"/>
  <c r="I15" i="5"/>
  <c r="G15" i="5"/>
  <c r="H15" i="5" s="1"/>
  <c r="D15" i="5"/>
  <c r="I14" i="5"/>
  <c r="G14" i="5"/>
  <c r="H14" i="5" s="1"/>
  <c r="D14" i="5"/>
  <c r="I13" i="5"/>
  <c r="G13" i="5"/>
  <c r="H13" i="5" s="1"/>
  <c r="D13" i="5"/>
  <c r="I12" i="5"/>
  <c r="G12" i="5"/>
  <c r="H12" i="5" s="1"/>
  <c r="D12" i="5"/>
  <c r="I11" i="5"/>
  <c r="G11" i="5"/>
  <c r="H11" i="5" s="1"/>
  <c r="D11" i="5"/>
  <c r="I10" i="5"/>
  <c r="G10" i="5"/>
  <c r="H10" i="5" s="1"/>
  <c r="D10" i="5"/>
  <c r="I9" i="5"/>
  <c r="G9" i="5"/>
  <c r="H9" i="5" s="1"/>
  <c r="D9" i="5"/>
  <c r="I8" i="5"/>
  <c r="G8" i="5"/>
  <c r="H8" i="5" s="1"/>
  <c r="D8" i="5"/>
  <c r="I7" i="5"/>
  <c r="G7" i="5"/>
  <c r="H7" i="5" s="1"/>
  <c r="D7" i="5"/>
  <c r="I6" i="5"/>
  <c r="G6" i="5"/>
  <c r="H6" i="5" s="1"/>
  <c r="D6" i="5"/>
  <c r="I5" i="5"/>
  <c r="G5" i="5"/>
  <c r="H5" i="5" s="1"/>
  <c r="D5" i="5"/>
  <c r="I4" i="5"/>
  <c r="H24" i="5" s="1"/>
  <c r="G4" i="5"/>
  <c r="H4" i="5" s="1"/>
  <c r="D4" i="5"/>
  <c r="I3" i="5"/>
  <c r="H21" i="5" s="1"/>
  <c r="G3" i="5"/>
  <c r="H3" i="5" s="1"/>
  <c r="D3" i="5"/>
  <c r="D32" i="4"/>
  <c r="D31" i="4"/>
  <c r="D30" i="4"/>
  <c r="D29" i="4"/>
  <c r="D28" i="4"/>
  <c r="D27" i="4"/>
  <c r="H26" i="4"/>
  <c r="D26" i="4"/>
  <c r="D25" i="4"/>
  <c r="D24" i="4"/>
  <c r="D23" i="4"/>
  <c r="D22" i="4"/>
  <c r="H21" i="4"/>
  <c r="D21" i="4"/>
  <c r="D20" i="4"/>
  <c r="I19" i="4"/>
  <c r="H19" i="4"/>
  <c r="G19" i="4"/>
  <c r="D19" i="4"/>
  <c r="I18" i="4"/>
  <c r="H18" i="4"/>
  <c r="G18" i="4"/>
  <c r="D18" i="4"/>
  <c r="I17" i="4"/>
  <c r="H17" i="4"/>
  <c r="G17" i="4"/>
  <c r="D17" i="4"/>
  <c r="I16" i="4"/>
  <c r="H16" i="4"/>
  <c r="G16" i="4"/>
  <c r="D16" i="4"/>
  <c r="I15" i="4"/>
  <c r="H15" i="4"/>
  <c r="G15" i="4"/>
  <c r="D15" i="4"/>
  <c r="I14" i="4"/>
  <c r="H14" i="4"/>
  <c r="G14" i="4"/>
  <c r="D14" i="4"/>
  <c r="I13" i="4"/>
  <c r="H13" i="4"/>
  <c r="G13" i="4"/>
  <c r="D13" i="4"/>
  <c r="I12" i="4"/>
  <c r="H12" i="4"/>
  <c r="G12" i="4"/>
  <c r="D12" i="4"/>
  <c r="I11" i="4"/>
  <c r="H11" i="4"/>
  <c r="G11" i="4"/>
  <c r="D11" i="4"/>
  <c r="I10" i="4"/>
  <c r="H10" i="4"/>
  <c r="G10" i="4"/>
  <c r="D10" i="4"/>
  <c r="I9" i="4"/>
  <c r="H9" i="4"/>
  <c r="G9" i="4"/>
  <c r="D9" i="4"/>
  <c r="I8" i="4"/>
  <c r="H8" i="4"/>
  <c r="G8" i="4"/>
  <c r="D8" i="4"/>
  <c r="I7" i="4"/>
  <c r="H7" i="4"/>
  <c r="G7" i="4"/>
  <c r="D7" i="4"/>
  <c r="I6" i="4"/>
  <c r="H6" i="4"/>
  <c r="G6" i="4"/>
  <c r="D6" i="4"/>
  <c r="I5" i="4"/>
  <c r="H23" i="4" s="1"/>
  <c r="H5" i="4"/>
  <c r="G5" i="4"/>
  <c r="D5" i="4"/>
  <c r="I4" i="4"/>
  <c r="H4" i="4"/>
  <c r="G4" i="4"/>
  <c r="D4" i="4"/>
  <c r="I3" i="4"/>
  <c r="H22" i="4" s="1"/>
  <c r="H3" i="4"/>
  <c r="G3" i="4"/>
  <c r="D3" i="4"/>
  <c r="L19" i="1"/>
  <c r="K19" i="1"/>
  <c r="J19" i="1"/>
  <c r="I19" i="1"/>
  <c r="H19" i="1"/>
  <c r="G19" i="1"/>
  <c r="F19" i="1"/>
  <c r="D19" i="1"/>
  <c r="C19" i="1"/>
  <c r="B19" i="1"/>
  <c r="A19" i="1"/>
  <c r="E19" i="1" s="1"/>
  <c r="B18" i="1"/>
  <c r="A18" i="1"/>
  <c r="I18" i="1" s="1"/>
  <c r="B17" i="1"/>
  <c r="A17" i="1"/>
  <c r="M17" i="1" s="1"/>
  <c r="B16" i="1"/>
  <c r="A16" i="1"/>
  <c r="E16" i="1" s="1"/>
  <c r="B15" i="1"/>
  <c r="A15" i="1"/>
  <c r="I15" i="1" s="1"/>
  <c r="N14" i="1"/>
  <c r="B14" i="1"/>
  <c r="A14" i="1"/>
  <c r="M14" i="1" s="1"/>
  <c r="N13" i="1"/>
  <c r="B13" i="1"/>
  <c r="A13" i="1"/>
  <c r="E13" i="1" s="1"/>
  <c r="N12" i="1"/>
  <c r="B12" i="1"/>
  <c r="A12" i="1"/>
  <c r="I12" i="1" s="1"/>
  <c r="N11" i="1"/>
  <c r="L11" i="1"/>
  <c r="B11" i="1"/>
  <c r="A11" i="1"/>
  <c r="M11" i="1" s="1"/>
  <c r="N10" i="1"/>
  <c r="L10" i="1"/>
  <c r="B10" i="1"/>
  <c r="A10" i="1"/>
  <c r="E10" i="1" s="1"/>
  <c r="N9" i="1"/>
  <c r="L9" i="1"/>
  <c r="B9" i="1"/>
  <c r="A9" i="1"/>
  <c r="I9" i="1" s="1"/>
  <c r="N8" i="1"/>
  <c r="L8" i="1"/>
  <c r="K8" i="1"/>
  <c r="B8" i="1"/>
  <c r="A8" i="1"/>
  <c r="M8" i="1" s="1"/>
  <c r="L7" i="1"/>
  <c r="K7" i="1"/>
  <c r="B7" i="1"/>
  <c r="A7" i="1"/>
  <c r="M7" i="1" s="1"/>
  <c r="N6" i="1"/>
  <c r="L6" i="1"/>
  <c r="B6" i="1"/>
  <c r="A6" i="1"/>
  <c r="I6" i="1" s="1"/>
  <c r="N5" i="1"/>
  <c r="L5" i="1"/>
  <c r="K5" i="1"/>
  <c r="J5" i="1"/>
  <c r="B5" i="1"/>
  <c r="A5" i="1"/>
  <c r="M5" i="1" s="1"/>
  <c r="L4" i="1"/>
  <c r="K4" i="1"/>
  <c r="J4" i="1"/>
  <c r="B4" i="1"/>
  <c r="A4" i="1"/>
  <c r="M4" i="1" s="1"/>
  <c r="N3" i="1"/>
  <c r="L3" i="1"/>
  <c r="K3" i="1"/>
  <c r="B3" i="1"/>
  <c r="A3" i="1"/>
  <c r="I3" i="1" s="1"/>
  <c r="C15" i="1" l="1"/>
  <c r="C14" i="1"/>
  <c r="D18" i="1"/>
  <c r="C7" i="1"/>
  <c r="C11" i="1"/>
  <c r="D13" i="1"/>
  <c r="D14" i="1"/>
  <c r="D15" i="1"/>
  <c r="O15" i="1" s="1"/>
  <c r="P15" i="1" s="1"/>
  <c r="F16" i="1"/>
  <c r="F26" i="1" s="1"/>
  <c r="E17" i="1"/>
  <c r="F18" i="1"/>
  <c r="C13" i="1"/>
  <c r="D16" i="1"/>
  <c r="C4" i="1"/>
  <c r="D7" i="1"/>
  <c r="C8" i="1"/>
  <c r="C9" i="1"/>
  <c r="C23" i="1" s="1"/>
  <c r="D10" i="1"/>
  <c r="D11" i="1"/>
  <c r="D12" i="1"/>
  <c r="D24" i="1" s="1"/>
  <c r="F13" i="1"/>
  <c r="E14" i="1"/>
  <c r="O14" i="1" s="1"/>
  <c r="P14" i="1" s="1"/>
  <c r="F15" i="1"/>
  <c r="G16" i="1"/>
  <c r="F17" i="1"/>
  <c r="G18" i="1"/>
  <c r="C16" i="1"/>
  <c r="C6" i="1"/>
  <c r="D9" i="1"/>
  <c r="F10" i="1"/>
  <c r="E11" i="1"/>
  <c r="F12" i="1"/>
  <c r="G13" i="1"/>
  <c r="F14" i="1"/>
  <c r="G15" i="1"/>
  <c r="H16" i="1"/>
  <c r="G17" i="1"/>
  <c r="H18" i="1"/>
  <c r="G26" i="1"/>
  <c r="C5" i="1"/>
  <c r="E4" i="1"/>
  <c r="F6" i="1"/>
  <c r="F9" i="1"/>
  <c r="F11" i="1"/>
  <c r="F24" i="1" s="1"/>
  <c r="H13" i="1"/>
  <c r="H24" i="1" s="1"/>
  <c r="G14" i="1"/>
  <c r="H15" i="1"/>
  <c r="I16" i="1"/>
  <c r="H17" i="1"/>
  <c r="J18" i="1"/>
  <c r="C10" i="1"/>
  <c r="E7" i="1"/>
  <c r="N7" i="1"/>
  <c r="C18" i="1"/>
  <c r="D4" i="1"/>
  <c r="F7" i="1"/>
  <c r="O7" i="1" s="1"/>
  <c r="P7" i="1" s="1"/>
  <c r="G12" i="1"/>
  <c r="G24" i="1" s="1"/>
  <c r="F4" i="1"/>
  <c r="G6" i="1"/>
  <c r="F8" i="1"/>
  <c r="H10" i="1"/>
  <c r="H12" i="1"/>
  <c r="I13" i="1"/>
  <c r="H14" i="1"/>
  <c r="J15" i="1"/>
  <c r="J16" i="1"/>
  <c r="J17" i="1"/>
  <c r="K18" i="1"/>
  <c r="K25" i="1" s="1"/>
  <c r="G3" i="1"/>
  <c r="G23" i="1" s="1"/>
  <c r="G4" i="1"/>
  <c r="F5" i="1"/>
  <c r="H6" i="1"/>
  <c r="H7" i="1"/>
  <c r="G8" i="1"/>
  <c r="H9" i="1"/>
  <c r="I10" i="1"/>
  <c r="H11" i="1"/>
  <c r="J12" i="1"/>
  <c r="J13" i="1"/>
  <c r="J14" i="1"/>
  <c r="K15" i="1"/>
  <c r="K16" i="1"/>
  <c r="K17" i="1"/>
  <c r="L18" i="1"/>
  <c r="C3" i="1"/>
  <c r="D5" i="1"/>
  <c r="E8" i="1"/>
  <c r="G10" i="1"/>
  <c r="F3" i="1"/>
  <c r="E5" i="1"/>
  <c r="G7" i="1"/>
  <c r="G9" i="1"/>
  <c r="G11" i="1"/>
  <c r="H3" i="1"/>
  <c r="H4" i="1"/>
  <c r="G5" i="1"/>
  <c r="J6" i="1"/>
  <c r="I7" i="1"/>
  <c r="H8" i="1"/>
  <c r="H23" i="1" s="1"/>
  <c r="J9" i="1"/>
  <c r="J10" i="1"/>
  <c r="J11" i="1"/>
  <c r="J24" i="1" s="1"/>
  <c r="K12" i="1"/>
  <c r="K24" i="1" s="1"/>
  <c r="K13" i="1"/>
  <c r="K14" i="1"/>
  <c r="L15" i="1"/>
  <c r="L16" i="1"/>
  <c r="L17" i="1"/>
  <c r="N18" i="1"/>
  <c r="N19" i="1"/>
  <c r="C17" i="1"/>
  <c r="N4" i="1"/>
  <c r="D17" i="1"/>
  <c r="C12" i="1"/>
  <c r="C24" i="1" s="1"/>
  <c r="D8" i="1"/>
  <c r="J3" i="1"/>
  <c r="J21" i="1" s="1"/>
  <c r="I4" i="1"/>
  <c r="H5" i="1"/>
  <c r="K6" i="1"/>
  <c r="K21" i="1" s="1"/>
  <c r="J7" i="1"/>
  <c r="J8" i="1"/>
  <c r="K9" i="1"/>
  <c r="K10" i="1"/>
  <c r="K23" i="1" s="1"/>
  <c r="K11" i="1"/>
  <c r="L12" i="1"/>
  <c r="L21" i="1" s="1"/>
  <c r="L13" i="1"/>
  <c r="L14" i="1"/>
  <c r="N15" i="1"/>
  <c r="N24" i="1" s="1"/>
  <c r="N16" i="1"/>
  <c r="N17" i="1"/>
  <c r="H25" i="6"/>
  <c r="H23" i="6"/>
  <c r="H21" i="9"/>
  <c r="H24" i="14"/>
  <c r="H24" i="9"/>
  <c r="H21" i="11"/>
  <c r="O10" i="1"/>
  <c r="P10" i="1" s="1"/>
  <c r="O4" i="1"/>
  <c r="P4" i="1" s="1"/>
  <c r="H21" i="6"/>
  <c r="H21" i="10"/>
  <c r="H23" i="11"/>
  <c r="H25" i="14"/>
  <c r="H22" i="6"/>
  <c r="H23" i="7"/>
  <c r="H21" i="15"/>
  <c r="H21" i="12"/>
  <c r="H24" i="13"/>
  <c r="J25" i="1"/>
  <c r="H26" i="1"/>
  <c r="H22" i="5"/>
  <c r="H22" i="9"/>
  <c r="H22" i="12"/>
  <c r="H24" i="11"/>
  <c r="H21" i="13"/>
  <c r="H24" i="15"/>
  <c r="M3" i="1"/>
  <c r="M6" i="1"/>
  <c r="M9" i="1"/>
  <c r="M12" i="1"/>
  <c r="M15" i="1"/>
  <c r="M18" i="1"/>
  <c r="L25" i="1"/>
  <c r="J26" i="1"/>
  <c r="H23" i="5"/>
  <c r="H23" i="9"/>
  <c r="H23" i="12"/>
  <c r="M25" i="1"/>
  <c r="K26" i="1"/>
  <c r="H25" i="4"/>
  <c r="H25" i="8"/>
  <c r="H25" i="11"/>
  <c r="H22" i="13"/>
  <c r="H25" i="15"/>
  <c r="H24" i="4"/>
  <c r="N25" i="1"/>
  <c r="L26" i="1"/>
  <c r="H21" i="7"/>
  <c r="H24" i="12"/>
  <c r="H21" i="14"/>
  <c r="I26" i="1"/>
  <c r="H24" i="8"/>
  <c r="D3" i="1"/>
  <c r="D6" i="1"/>
  <c r="H22" i="10"/>
  <c r="H23" i="13"/>
  <c r="C25" i="1"/>
  <c r="M26" i="1"/>
  <c r="E3" i="1"/>
  <c r="I5" i="1"/>
  <c r="E6" i="1"/>
  <c r="I8" i="1"/>
  <c r="E9" i="1"/>
  <c r="M10" i="1"/>
  <c r="I11" i="1"/>
  <c r="E12" i="1"/>
  <c r="M13" i="1"/>
  <c r="I14" i="1"/>
  <c r="E15" i="1"/>
  <c r="M16" i="1"/>
  <c r="O16" i="1" s="1"/>
  <c r="P16" i="1" s="1"/>
  <c r="I17" i="1"/>
  <c r="O17" i="1" s="1"/>
  <c r="P17" i="1" s="1"/>
  <c r="E18" i="1"/>
  <c r="M19" i="1"/>
  <c r="D25" i="1"/>
  <c r="N26" i="1"/>
  <c r="H25" i="5"/>
  <c r="H22" i="7"/>
  <c r="H25" i="9"/>
  <c r="H22" i="14"/>
  <c r="H23" i="10"/>
  <c r="H23" i="14"/>
  <c r="L23" i="1"/>
  <c r="D26" i="1"/>
  <c r="G25" i="1"/>
  <c r="H24" i="10"/>
  <c r="H22" i="11"/>
  <c r="C26" i="1"/>
  <c r="F25" i="1"/>
  <c r="E26" i="1"/>
  <c r="N23" i="1"/>
  <c r="L24" i="1"/>
  <c r="H25" i="1"/>
  <c r="M23" i="1" l="1"/>
  <c r="F21" i="1"/>
  <c r="O13" i="1"/>
  <c r="P13" i="1" s="1"/>
  <c r="M24" i="1"/>
  <c r="O11" i="1"/>
  <c r="P11" i="1" s="1"/>
  <c r="N21" i="1"/>
  <c r="C21" i="1"/>
  <c r="G21" i="1"/>
  <c r="O9" i="1"/>
  <c r="P9" i="1" s="1"/>
  <c r="O6" i="1"/>
  <c r="P6" i="1" s="1"/>
  <c r="J23" i="1"/>
  <c r="O8" i="1"/>
  <c r="P8" i="1" s="1"/>
  <c r="O3" i="1"/>
  <c r="E24" i="1"/>
  <c r="O19" i="1"/>
  <c r="F23" i="1"/>
  <c r="H21" i="1"/>
  <c r="E25" i="1"/>
  <c r="I21" i="1"/>
  <c r="P3" i="1"/>
  <c r="I25" i="1"/>
  <c r="O25" i="1" s="1"/>
  <c r="M21" i="1"/>
  <c r="D23" i="1"/>
  <c r="O23" i="1" s="1"/>
  <c r="O26" i="1"/>
  <c r="O18" i="1"/>
  <c r="P18" i="1" s="1"/>
  <c r="I23" i="1"/>
  <c r="I24" i="1"/>
  <c r="O5" i="1"/>
  <c r="P5" i="1" s="1"/>
  <c r="E23" i="1"/>
  <c r="E21" i="1"/>
  <c r="O12" i="1"/>
  <c r="P12" i="1" s="1"/>
  <c r="D21" i="1"/>
  <c r="O24" i="1" l="1"/>
  <c r="P24" i="1" s="1"/>
  <c r="P19" i="1"/>
  <c r="P26" i="1" l="1"/>
  <c r="P25" i="1"/>
  <c r="P23" i="1"/>
</calcChain>
</file>

<file path=xl/sharedStrings.xml><?xml version="1.0" encoding="utf-8"?>
<sst xmlns="http://schemas.openxmlformats.org/spreadsheetml/2006/main" count="339" uniqueCount="102">
  <si>
    <t>Visión General 2026</t>
  </si>
  <si>
    <t>Categoría</t>
  </si>
  <si>
    <t>Tipo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</si>
  <si>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</si>
  <si>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</si>
  <si>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</si>
  <si>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</si>
  <si>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</si>
  <si>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</si>
  <si>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</si>
  <si>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</si>
  <si>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</si>
  <si>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</si>
  <si>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</si>
  <si>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</si>
  <si>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</si>
  <si>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% del año</t>
  </si>
  <si>
    <t>Videojuegos</t>
  </si>
  <si>
    <t>Apuestas</t>
  </si>
  <si>
    <t>Salidas/Ocio</t>
  </si>
  <si>
    <t>Suscripciones ocio</t>
  </si>
  <si>
    <t>Viajes</t>
  </si>
  <si>
    <t>Padel</t>
  </si>
  <si>
    <t>Alimentación</t>
  </si>
  <si>
    <t>Barça</t>
  </si>
  <si>
    <t>Vivienda/Alquiler</t>
  </si>
  <si>
    <t>Transporte</t>
  </si>
  <si>
    <t>Salud</t>
  </si>
  <si>
    <t>Barbero</t>
  </si>
  <si>
    <t>Otros</t>
  </si>
  <si>
    <t>Burocracia</t>
  </si>
  <si>
    <t>Regalos</t>
  </si>
  <si>
    <t>Multas</t>
  </si>
  <si>
    <t>Otros extraordinarios</t>
  </si>
  <si>
    <t>TOTAL</t>
  </si>
  <si>
    <t>Total Ocio</t>
  </si>
  <si>
    <t>Total Ordinario</t>
  </si>
  <si>
    <t>Total Extraordinario</t>
  </si>
  <si>
    <t>Total Extraordinario Evitable</t>
  </si>
  <si>
    <t>Total Extraordinario Inevitable</t>
  </si>
  <si>
    <t>Cómo usar este Excel de control de gastos</t>
  </si>
  <si>
    <t>1. Cada mes tiene su propia pestaña (Enero...Diciembre). Ahí vas anotando cada gasto según ocurre.</t>
  </si>
  <si>
    <t>2. Columnas de cada pestaña mensual:</t>
  </si>
  <si>
    <t xml:space="preserve">     - Fecha: fecha del gasto</t>
  </si>
  <si>
    <t xml:space="preserve">     - Descripción: texto libre (ej. 'Cena con amigos')</t>
  </si>
  <si>
    <t xml:space="preserve">     - Categoría: elige de la lista desplegable (Videojuegos, Apuestas, Comida/Bebidas, etc.)</t>
  </si>
  <si>
    <t xml:space="preserve">     - Tipo: se rellena SOLO, según la categoría elegida (Ocio u Ordinario)</t>
  </si>
  <si>
    <t xml:space="preserve">     - Importe: cantidad en euros (número, sin símbolo €)</t>
  </si>
  <si>
    <t>3. Las celdas en AZUL son las que tú rellenas. Las celdas en NEGRO tienen fórmulas — no las toques.</t>
  </si>
  <si>
    <t>4. La pestaña 'Categorías' es la lista maestra: si quieres añadir o cambiar una categoría, edítala ahí</t>
  </si>
  <si>
    <t xml:space="preserve">    (y el desplegable de los meses se actualizará solo).</t>
  </si>
  <si>
    <t>5. La pestaña 'Visión General' se calcula sola a partir de los 12 meses: no hay que tocar nada ahí,</t>
  </si>
  <si>
    <t xml:space="preserve">    solo mirar los totales, porcentajes y los dos gráficos (reparto por categoría y evolución Ocio/Ordinario).</t>
  </si>
  <si>
    <t>Ejemplo de una fila de gasto (así se vería en una pestaña de mes):</t>
  </si>
  <si>
    <t>Fecha</t>
  </si>
  <si>
    <t>Descripción</t>
  </si>
  <si>
    <t>Importe</t>
  </si>
  <si>
    <t>15/07/2026</t>
  </si>
  <si>
    <t>Cena con amigos</t>
  </si>
  <si>
    <t>Ordinario</t>
  </si>
  <si>
    <t>Ocio</t>
  </si>
  <si>
    <t>Extraordinario Inevitable</t>
  </si>
  <si>
    <t>Extraordinario Evitable</t>
  </si>
  <si>
    <t>Gastos — Enero 2026</t>
  </si>
  <si>
    <t>Resumen del mes</t>
  </si>
  <si>
    <t>TOTAL MES</t>
  </si>
  <si>
    <t>Gastos — Febrero 2026</t>
  </si>
  <si>
    <t>Gastos — Marzo 2026</t>
  </si>
  <si>
    <t>Gastos — Abril 2026</t>
  </si>
  <si>
    <t>Gastos — Mayo 2026</t>
  </si>
  <si>
    <t>Gastos — Junio 2026</t>
  </si>
  <si>
    <t>Gastos — Julio 2026</t>
  </si>
  <si>
    <t>Paki</t>
  </si>
  <si>
    <t>Flores</t>
  </si>
  <si>
    <t>Monster</t>
  </si>
  <si>
    <t>bet</t>
  </si>
  <si>
    <t>encuadernar tfg</t>
  </si>
  <si>
    <t>McDonalds</t>
  </si>
  <si>
    <t>Casa Rural</t>
  </si>
  <si>
    <t>Título uni</t>
  </si>
  <si>
    <t>Cine+macdonalds</t>
  </si>
  <si>
    <t>EA FC</t>
  </si>
  <si>
    <t>Multa velocidad</t>
  </si>
  <si>
    <t>Spotify</t>
  </si>
  <si>
    <t>Gastos — Agosto 2026</t>
  </si>
  <si>
    <t>Monólogo+birras</t>
  </si>
  <si>
    <t>Mascarilla</t>
  </si>
  <si>
    <t>Cine</t>
  </si>
  <si>
    <t>Mc Donalds</t>
  </si>
  <si>
    <t>Crunchyroll</t>
  </si>
  <si>
    <t>Monsters</t>
  </si>
  <si>
    <t>Gastos — Septiembre 2026</t>
  </si>
  <si>
    <t>Desplazamiento Sevilla</t>
  </si>
  <si>
    <t>Barça-Racing</t>
  </si>
  <si>
    <t>padel</t>
  </si>
  <si>
    <t>T-10</t>
  </si>
  <si>
    <t>Padel Pro League</t>
  </si>
  <si>
    <t>Karting+mcd</t>
  </si>
  <si>
    <t>Salidas/ocio</t>
  </si>
  <si>
    <t>Gastos — Octubre 2026</t>
  </si>
  <si>
    <t>Gastos — Noviembre 2026</t>
  </si>
  <si>
    <t>Gastos — Diciembre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</si>
</sst>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&quot; €&quot;"/>
    <numFmt numFmtId="165" formatCode="0.0%"/>
    <numFmt numFmtId="166" formatCode="#,##0&quot; €&quot;"/>
    <numFmt numFmtId="167" formatCode="m/d/yyyy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6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2A900"/>
        <bgColor rgb="FFF79646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9" fontId="3" fillId="0" borderId="0"/>
  </cellStyleXfs>
  <cellXfs count="30">
    <xf numFmtId="0" fontId="0" fillId="0" borderId="0" xfId="0"/>
    <xf numFmtId="0" fontId="4" fillId="4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/>
    <xf numFmtId="164" fontId="4" fillId="0" borderId="2" xfId="0" applyNumberFormat="1" applyFont="1" applyBorder="1"/>
    <xf numFmtId="165" fontId="3" fillId="0" borderId="2" xfId="0" applyNumberFormat="1" applyFont="1" applyBorder="1"/>
    <xf numFmtId="0" fontId="4" fillId="3" borderId="0" xfId="0" applyFont="1" applyFill="1"/>
    <xf numFmtId="164" fontId="4" fillId="3" borderId="0" xfId="0" applyNumberFormat="1" applyFont="1" applyFill="1"/>
    <xf numFmtId="0" fontId="4" fillId="0" borderId="0" xfId="0" applyFont="1"/>
    <xf numFmtId="166" fontId="3" fillId="0" borderId="0" xfId="0" applyNumberFormat="1" applyFont="1"/>
    <xf numFmtId="9" fontId="3" fillId="0" borderId="0" xfId="1" applyFont="1"/>
    <xf numFmtId="9" fontId="3" fillId="0" borderId="0" xfId="0" applyNumberFormat="1" applyFont="1"/>
    <xf numFmtId="0" fontId="0" fillId="0" borderId="0" xfId="0" applyFont="1"/>
    <xf numFmtId="0" fontId="5" fillId="0" borderId="0" xfId="0" applyFont="1"/>
    <xf numFmtId="0" fontId="6" fillId="0" borderId="0" xfId="0" applyFont="1"/>
    <xf numFmtId="0" fontId="2" fillId="2" borderId="2" xfId="0" applyFont="1" applyFill="1" applyBorder="1"/>
    <xf numFmtId="167" fontId="7" fillId="0" borderId="2" xfId="0" applyNumberFormat="1" applyFont="1" applyBorder="1"/>
    <xf numFmtId="0" fontId="7" fillId="0" borderId="2" xfId="0" applyFont="1" applyBorder="1"/>
    <xf numFmtId="0" fontId="8" fillId="0" borderId="2" xfId="0" applyFont="1" applyBorder="1"/>
    <xf numFmtId="164" fontId="7" fillId="0" borderId="2" xfId="0" applyNumberFormat="1" applyFont="1" applyBorder="1"/>
    <xf numFmtId="164" fontId="8" fillId="0" borderId="2" xfId="0" applyNumberFormat="1" applyFont="1" applyBorder="1"/>
    <xf numFmtId="0" fontId="3" fillId="0" borderId="0" xfId="0" applyFont="1"/>
    <xf numFmtId="0" fontId="3" fillId="3" borderId="2" xfId="0" applyFont="1" applyFill="1" applyBorder="1"/>
    <xf numFmtId="164" fontId="8" fillId="3" borderId="2" xfId="0" applyNumberFormat="1" applyFont="1" applyFill="1" applyBorder="1"/>
    <xf numFmtId="164" fontId="4" fillId="0" borderId="0" xfId="0" applyNumberFormat="1" applyFont="1"/>
    <xf numFmtId="167" fontId="0" fillId="0" borderId="0" xfId="0" applyNumberFormat="1"/>
    <xf numFmtId="167" fontId="2" fillId="2" borderId="2" xfId="0" applyNumberFormat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7B7B7"/>
      <rgbColor rgb="FF809B49"/>
      <rgbColor rgb="FFAABAD7"/>
      <rgbColor rgb="FF9F423F"/>
      <rgbColor rgb="FFFFFFCC"/>
      <rgbColor rgb="FFDCE6F1"/>
      <rgbColor rgb="FF660066"/>
      <rgbColor rgb="FFF7964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CEDC"/>
      <rgbColor rgb="FFD8AAA9"/>
      <rgbColor rgb="FFB9AFC9"/>
      <rgbColor rgb="FFC5D6AC"/>
      <rgbColor rgb="FF416A9C"/>
      <rgbColor rgb="FF4BACC6"/>
      <rgbColor rgb="FF9BBB59"/>
      <rgbColor rgb="FFFFCC00"/>
      <rgbColor rgb="FFF2A900"/>
      <rgbColor rgb="FFCC7C3A"/>
      <rgbColor rgb="FF8064A2"/>
      <rgbColor rgb="FFB3B3B3"/>
      <rgbColor rgb="FF003366"/>
      <rgbColor rgb="FF3E8EA4"/>
      <rgbColor rgb="FF003300"/>
      <rgbColor rgb="FF333300"/>
      <rgbColor rgb="FF993300"/>
      <rgbColor rgb="FFC0504D"/>
      <rgbColor rgb="FF6A528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Reparto anual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16A9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2C6-4AA7-A585-77DD77C133D9}"/>
              </c:ext>
            </c:extLst>
          </c:dPt>
          <c:dPt>
            <c:idx val="1"/>
            <c:bubble3D val="0"/>
            <c:spPr>
              <a:solidFill>
                <a:srgbClr val="9F42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2C6-4AA7-A585-77DD77C133D9}"/>
              </c:ext>
            </c:extLst>
          </c:dPt>
          <c:dPt>
            <c:idx val="2"/>
            <c:bubble3D val="0"/>
            <c:spPr>
              <a:solidFill>
                <a:srgbClr val="809B4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2C6-4AA7-A585-77DD77C133D9}"/>
              </c:ext>
            </c:extLst>
          </c:dPt>
          <c:dPt>
            <c:idx val="3"/>
            <c:bubble3D val="0"/>
            <c:spPr>
              <a:solidFill>
                <a:srgbClr val="6A52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2C6-4AA7-A585-77DD77C133D9}"/>
              </c:ext>
            </c:extLst>
          </c:dPt>
          <c:dPt>
            <c:idx val="4"/>
            <c:bubble3D val="0"/>
            <c:spPr>
              <a:solidFill>
                <a:srgbClr val="3E8E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2C6-4AA7-A585-77DD77C133D9}"/>
              </c:ext>
            </c:extLst>
          </c:dPt>
          <c:dPt>
            <c:idx val="5"/>
            <c:bubble3D val="0"/>
            <c:spPr>
              <a:solidFill>
                <a:srgbClr val="CC7C3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52C6-4AA7-A585-77DD77C133D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52C6-4AA7-A585-77DD77C133D9}"/>
              </c:ext>
            </c:extLst>
          </c:dPt>
          <c:dPt>
            <c:idx val="7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52C6-4AA7-A585-77DD77C133D9}"/>
              </c:ext>
            </c:extLst>
          </c:dPt>
          <c:dPt>
            <c:idx val="8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52C6-4AA7-A585-77DD77C133D9}"/>
              </c:ext>
            </c:extLst>
          </c:dPt>
          <c:dPt>
            <c:idx val="9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52C6-4AA7-A585-77DD77C133D9}"/>
              </c:ext>
            </c:extLst>
          </c:dPt>
          <c:dPt>
            <c:idx val="10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52C6-4AA7-A585-77DD77C133D9}"/>
              </c:ext>
            </c:extLst>
          </c:dPt>
          <c:dPt>
            <c:idx val="11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52C6-4AA7-A585-77DD77C133D9}"/>
              </c:ext>
            </c:extLst>
          </c:dPt>
          <c:dPt>
            <c:idx val="12"/>
            <c:bubble3D val="0"/>
            <c:spPr>
              <a:solidFill>
                <a:srgbClr val="AABAD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52C6-4AA7-A585-77DD77C133D9}"/>
              </c:ext>
            </c:extLst>
          </c:dPt>
          <c:dPt>
            <c:idx val="13"/>
            <c:bubble3D val="0"/>
            <c:spPr>
              <a:solidFill>
                <a:srgbClr val="D8AAA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52C6-4AA7-A585-77DD77C133D9}"/>
              </c:ext>
            </c:extLst>
          </c:dPt>
          <c:dPt>
            <c:idx val="14"/>
            <c:bubble3D val="0"/>
            <c:spPr>
              <a:solidFill>
                <a:srgbClr val="C5D6A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52C6-4AA7-A585-77DD77C133D9}"/>
              </c:ext>
            </c:extLst>
          </c:dPt>
          <c:dPt>
            <c:idx val="15"/>
            <c:bubble3D val="0"/>
            <c:spPr>
              <a:solidFill>
                <a:srgbClr val="B9AFC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52C6-4AA7-A585-77DD77C133D9}"/>
              </c:ext>
            </c:extLst>
          </c:dPt>
          <c:dPt>
            <c:idx val="16"/>
            <c:bubble3D val="0"/>
            <c:spPr>
              <a:solidFill>
                <a:srgbClr val="A9CED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52C6-4AA7-A585-77DD77C133D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2C6-4AA7-A585-77DD77C133D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2C6-4AA7-A585-77DD77C133D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2C6-4AA7-A585-77DD77C133D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2C6-4AA7-A585-77DD77C133D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52C6-4AA7-A585-77DD77C133D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52C6-4AA7-A585-77DD77C133D9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52C6-4AA7-A585-77DD77C133D9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52C6-4AA7-A585-77DD77C133D9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52C6-4AA7-A585-77DD77C133D9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52C6-4AA7-A585-77DD77C133D9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52C6-4AA7-A585-77DD77C133D9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52C6-4AA7-A585-77DD77C133D9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52C6-4AA7-A585-77DD77C133D9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52C6-4AA7-A585-77DD77C133D9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52C6-4AA7-A585-77DD77C133D9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52C6-4AA7-A585-77DD77C133D9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1-52C6-4AA7-A585-77DD77C133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'Visión General'!$A$3:$A$19</c:f>
              <c:strCache>
                <c:ptCount val="17"/>
                <c:pt idx="0">
                  <c:v>Videojuegos</c:v>
                </c:pt>
                <c:pt idx="1">
                  <c:v>Apuestas</c:v>
                </c:pt>
                <c:pt idx="2">
                  <c:v>Salidas/Ocio</c:v>
                </c:pt>
                <c:pt idx="3">
                  <c:v>Suscripciones ocio</c:v>
                </c:pt>
                <c:pt idx="4">
                  <c:v>Viajes</c:v>
                </c:pt>
                <c:pt idx="5">
                  <c:v>Padel</c:v>
                </c:pt>
                <c:pt idx="6">
                  <c:v>Alimentación</c:v>
                </c:pt>
                <c:pt idx="7">
                  <c:v>Barça</c:v>
                </c:pt>
                <c:pt idx="8">
                  <c:v>Vivienda/Alquiler</c:v>
                </c:pt>
                <c:pt idx="9">
                  <c:v>Transporte</c:v>
                </c:pt>
                <c:pt idx="10">
                  <c:v>Salud</c:v>
                </c:pt>
                <c:pt idx="11">
                  <c:v>Barbero</c:v>
                </c:pt>
                <c:pt idx="12">
                  <c:v>Otros</c:v>
                </c:pt>
                <c:pt idx="13">
                  <c:v>Burocracia</c:v>
                </c:pt>
                <c:pt idx="14">
                  <c:v>Regalos</c:v>
                </c:pt>
                <c:pt idx="15">
                  <c:v>Multas</c:v>
                </c:pt>
                <c:pt idx="16">
                  <c:v>Otros extraordinarios</c:v>
                </c:pt>
              </c:strCache>
            </c:strRef>
          </c:cat>
          <c:val>
            <c:numRef>
              <c:f>'Visión General'!$O$3:$O$19</c:f>
              <c:numCache>
                <c:formatCode>#,##0.00" €"</c:formatCode>
                <c:ptCount val="17"/>
                <c:pt idx="0">
                  <c:v>40</c:v>
                </c:pt>
                <c:pt idx="1">
                  <c:v>40</c:v>
                </c:pt>
                <c:pt idx="2">
                  <c:v>160.15</c:v>
                </c:pt>
                <c:pt idx="3">
                  <c:v>28</c:v>
                </c:pt>
                <c:pt idx="4">
                  <c:v>0</c:v>
                </c:pt>
                <c:pt idx="5">
                  <c:v>65.210000000000008</c:v>
                </c:pt>
                <c:pt idx="6">
                  <c:v>38.290000000000006</c:v>
                </c:pt>
                <c:pt idx="7">
                  <c:v>197</c:v>
                </c:pt>
                <c:pt idx="8">
                  <c:v>0</c:v>
                </c:pt>
                <c:pt idx="9">
                  <c:v>13</c:v>
                </c:pt>
                <c:pt idx="10">
                  <c:v>0</c:v>
                </c:pt>
                <c:pt idx="11">
                  <c:v>30</c:v>
                </c:pt>
                <c:pt idx="12">
                  <c:v>0</c:v>
                </c:pt>
                <c:pt idx="13">
                  <c:v>237.3</c:v>
                </c:pt>
                <c:pt idx="14">
                  <c:v>26.35</c:v>
                </c:pt>
                <c:pt idx="15">
                  <c:v>50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2C6-4AA7-A585-77DD77C13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baseline="0">
                <a:effectLst/>
              </a:rPr>
              <a:t>Evolución mensual por tipo (Ocio / Ordinario / Extraordinario)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'Visión General'!$A$23</c:f>
              <c:strCache>
                <c:ptCount val="1"/>
                <c:pt idx="0">
                  <c:v>Total Ocio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'Visión General'!$B$23:$N$23</c:f>
              <c:numCache>
                <c:formatCode>#,##0" €"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241.66000000000003</c:v>
                </c:pt>
                <c:pt idx="8">
                  <c:v>70.150000000000006</c:v>
                </c:pt>
                <c:pt idx="9">
                  <c:v>256.84000000000003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9-498F-A71B-F4127CCD5939}"/>
            </c:ext>
          </c:extLst>
        </c:ser>
        <c:ser>
          <c:idx val="1"/>
          <c:order val="1"/>
          <c:tx>
            <c:strRef>
              <c:f>'Visión General'!$A$24</c:f>
              <c:strCache>
                <c:ptCount val="1"/>
                <c:pt idx="0">
                  <c:v>Total Ordinario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'Visión General'!$B$24:$N$24</c:f>
              <c:numCache>
                <c:formatCode>#,##0" €"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</c:v>
                </c:pt>
                <c:pt idx="8">
                  <c:v>0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9-498F-A71B-F4127CCD5939}"/>
            </c:ext>
          </c:extLst>
        </c:ser>
        <c:ser>
          <c:idx val="2"/>
          <c:order val="2"/>
          <c:tx>
            <c:strRef>
              <c:f>'Visión General'!$A$25</c:f>
              <c:strCache>
                <c:ptCount val="1"/>
                <c:pt idx="0">
                  <c:v>Total Extraordinario Evitable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'Visión General'!$B$25:$N$25</c:f>
              <c:numCache>
                <c:formatCode>#,##0" €"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70</c:v>
                </c:pt>
                <c:pt idx="8">
                  <c:v>6.35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19-498F-A71B-F4127CCD5939}"/>
            </c:ext>
          </c:extLst>
        </c:ser>
        <c:ser>
          <c:idx val="3"/>
          <c:order val="3"/>
          <c:tx>
            <c:strRef>
              <c:f>'Visión General'!$A$26</c:f>
              <c:strCache>
                <c:ptCount val="1"/>
                <c:pt idx="0">
                  <c:v>Total Extraordinario Inevitable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'Visión General'!$B$26:$N$26</c:f>
              <c:numCache>
                <c:formatCode>#,##0" €"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237.3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19-498F-A71B-F4127CCD5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2236815"/>
        <c:axId val="1832238063"/>
      </c:barChart>
      <c:catAx>
        <c:axId val="183223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2238063"/>
        <c:crosses val="autoZero"/>
        <c:auto val="1"/>
        <c:lblAlgn val="ctr"/>
        <c:lblOffset val="100"/>
        <c:noMultiLvlLbl val="0"/>
      </c:catAx>
      <c:valAx>
        <c:axId val="183223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223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5</xdr:col>
      <xdr:colOff>675720</xdr:colOff>
      <xdr:row>45</xdr:row>
      <xdr:rowOff>169200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326570</xdr:colOff>
      <xdr:row>26</xdr:row>
      <xdr:rowOff>159203</xdr:rowOff>
    </xdr:from>
    <xdr:to>
      <xdr:col>14</xdr:col>
      <xdr:colOff>435428</xdr:colOff>
      <xdr:row>45</xdr:row>
      <xdr:rowOff>54429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CBD0F51-3550-45FA-AFC7-BBA279C76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showGridLines="0" tabSelected="1" zoomScale="70" zoomScaleNormal="70" workbookViewId="0">
      <selection activeCell="U11" sqref="U11"/>
    </sheetView>
  </sheetViews>
  <sheetFormatPr baseColWidth="10" defaultColWidth="8.7109375" defaultRowHeight="15" x14ac:dyDescent="0.25"/>
  <cols>
    <col min="1" max="1" width="20" customWidth="1"/>
    <col min="2" max="2" width="14" customWidth="1"/>
    <col min="3" max="14" width="11" customWidth="1"/>
    <col min="15" max="16" width="12.5703125" customWidth="1"/>
    <col min="17" max="17" width="17.42578125" customWidth="1"/>
  </cols>
  <sheetData>
    <row r="1" spans="1:17" ht="24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5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</v>
      </c>
    </row>
    <row r="3" spans="1:17" ht="15" customHeight="1" x14ac:dyDescent="0.25">
      <c r="A3" s="5" t="str">
        <f>Categorías!A2</f>
        <v>Videojuegos</v>
      </c>
      <c r="B3" s="5" t="str">
        <f>Categorías!B2</f>
        <v>Ocio</v>
      </c>
      <c r="C3" s="6">
        <f>SUMIF(Enero!$C$3:$C$32,$A3,Enero!$E$3:$E$32)</f>
        <v>0</v>
      </c>
      <c r="D3" s="6">
        <f>SUMIF(Febrero!$C$3:$C$32,$A3,Febrero!$E$3:$E$32)</f>
        <v>0</v>
      </c>
      <c r="E3" s="6">
        <f>SUMIF(Marzo!$C$3:$C$32,$A3,Marzo!$E$3:$E$32)</f>
        <v>0</v>
      </c>
      <c r="F3" s="6">
        <f>SUMIF(Abril!$C$3:$C$32,$A3,Abril!$E$3:$E$32)</f>
        <v>0</v>
      </c>
      <c r="G3" s="6">
        <f>SUMIF(Mayo!$C$3:$C$32,$A3,Mayo!$E$3:$E$32)</f>
        <v>0</v>
      </c>
      <c r="H3" s="6">
        <f>SUMIF(Junio!$C$3:$C$32,$A3,Junio!$E$3:$E$32)</f>
        <v>0</v>
      </c>
      <c r="I3" s="6">
        <f>SUMIF(Julio!$C$3:$C$32,$A3,Julio!$E$3:$E$32)</f>
        <v>40</v>
      </c>
      <c r="J3" s="6">
        <f>SUMIF(Agosto!$C$3:$C$32,$A3,Agosto!$E$3:$E$32)</f>
        <v>0</v>
      </c>
      <c r="K3" s="6">
        <f>SUMIF(Septiembre!$C$3:$C$32,$A3,Septiembre!$E$3:$E$32)</f>
        <v>0</v>
      </c>
      <c r="L3" s="6">
        <f>SUMIF(Octubre!$C$3:$C$32,$A3,Octubre!$E$3:$E$32)</f>
        <v>0</v>
      </c>
      <c r="M3" s="6">
        <f>SUMIF(Noviembre!$C$3:$C$32,$A3,Noviembre!$E$3:$E$32)</f>
        <v>0</v>
      </c>
      <c r="N3" s="6">
        <f>SUMIF(Diciembre!$C$3:$C$32,$A3,Diciembre!$E$3:$E$32)</f>
        <v>0</v>
      </c>
      <c r="O3" s="7">
        <f t="shared" ref="O3:O19" si="0">SUM(C3:N3)</f>
        <v>40</v>
      </c>
      <c r="P3" s="8">
        <f t="shared" ref="P3:P18" si="1">IFERROR(O3/$O$20,0)</f>
        <v>0</v>
      </c>
      <c r="Q3" s="5" t="s">
        <v>17</v>
      </c>
    </row>
    <row r="4" spans="1:17" ht="15" customHeight="1" x14ac:dyDescent="0.25">
      <c r="A4" s="5" t="str">
        <f>Categorías!A3</f>
        <v>Apuestas</v>
      </c>
      <c r="B4" s="5" t="str">
        <f>Categorías!B3</f>
        <v>Ocio</v>
      </c>
      <c r="C4" s="6">
        <f>SUMIF(Enero!$C$3:$C$32,$A4,Enero!$E$3:$E$32)</f>
        <v>0</v>
      </c>
      <c r="D4" s="6">
        <f>SUMIF(Febrero!$C$3:$C$32,$A4,Febrero!$E$3:$E$32)</f>
        <v>0</v>
      </c>
      <c r="E4" s="6">
        <f>SUMIF(Marzo!$C$3:$C$32,$A4,Marzo!$E$3:$E$32)</f>
        <v>0</v>
      </c>
      <c r="F4" s="6">
        <f>SUMIF(Abril!$C$3:$C$32,$A4,Abril!$E$3:$E$32)</f>
        <v>0</v>
      </c>
      <c r="G4" s="6">
        <f>SUMIF(Mayo!$C$3:$C$32,$A4,Mayo!$E$3:$E$32)</f>
        <v>0</v>
      </c>
      <c r="H4" s="6">
        <f>SUMIF(Junio!$C$3:$C$32,$A4,Junio!$E$3:$E$32)</f>
        <v>0</v>
      </c>
      <c r="I4" s="6">
        <f>SUMIF(Julio!$C$3:$C$32,$A4,Julio!$E$3:$E$32)</f>
        <v>40</v>
      </c>
      <c r="J4" s="6">
        <f>SUMIF(Agosto!$C$3:$C$32,$A4,Agosto!$E$3:$E$32)</f>
        <v>0</v>
      </c>
      <c r="K4" s="6">
        <f>SUMIF(Septiembre!$C$3:$C$32,$A4,Septiembre!$E$3:$E$32)</f>
        <v>0</v>
      </c>
      <c r="L4" s="6">
        <f>SUMIF(Octubre!$C$3:$C$32,$A4,Octubre!$E$3:$E$32)</f>
        <v>0</v>
      </c>
      <c r="M4" s="6">
        <f>SUMIF(Noviembre!$C$3:$C$32,$A4,Noviembre!$E$3:$E$32)</f>
        <v>0</v>
      </c>
      <c r="N4" s="6">
        <f>SUMIF(Diciembre!$C$3:$C$32,$A4,Diciembre!$E$3:$E$32)</f>
        <v>0</v>
      </c>
      <c r="O4" s="7">
        <f t="shared" si="0"/>
        <v>40</v>
      </c>
      <c r="P4" s="8">
        <f t="shared" si="1"/>
        <v>0</v>
      </c>
      <c r="Q4" s="5" t="s">
        <v>18</v>
      </c>
    </row>
    <row r="5" spans="1:17" ht="15" customHeight="1" x14ac:dyDescent="0.25">
      <c r="A5" s="5" t="str">
        <f>Categorías!A4</f>
        <v>Salidas/Ocio</v>
      </c>
      <c r="B5" s="5" t="str">
        <f>Categorías!B4</f>
        <v>Ocio</v>
      </c>
      <c r="C5" s="6">
        <f>SUMIF(Enero!$C$3:$C$32,$A5,Enero!$E$3:$E$32)</f>
        <v>0</v>
      </c>
      <c r="D5" s="6">
        <f>SUMIF(Febrero!$C$3:$C$32,$A5,Febrero!$E$3:$E$32)</f>
        <v>0</v>
      </c>
      <c r="E5" s="6">
        <f>SUMIF(Marzo!$C$3:$C$32,$A5,Marzo!$E$3:$E$32)</f>
        <v>0</v>
      </c>
      <c r="F5" s="6">
        <f>SUMIF(Abril!$C$3:$C$32,$A5,Abril!$E$3:$E$32)</f>
        <v>0</v>
      </c>
      <c r="G5" s="6">
        <f>SUMIF(Mayo!$C$3:$C$32,$A5,Mayo!$E$3:$E$32)</f>
        <v>0</v>
      </c>
      <c r="H5" s="6">
        <f>SUMIF(Junio!$C$3:$C$32,$A5,Junio!$E$3:$E$32)</f>
        <v>0</v>
      </c>
      <c r="I5" s="6">
        <f>SUMIF(Julio!$C$3:$C$32,$A5,Julio!$E$3:$E$32)</f>
        <v>122.4</v>
      </c>
      <c r="J5" s="6">
        <f>SUMIF(Agosto!$C$3:$C$32,$A5,Agosto!$E$3:$E$32)</f>
        <v>25.25</v>
      </c>
      <c r="K5" s="6">
        <f>SUMIF(Septiembre!$C$3:$C$32,$A5,Septiembre!$E$3:$E$32)</f>
        <v>12.5</v>
      </c>
      <c r="L5" s="6">
        <f>SUMIF(Octubre!$C$3:$C$32,$A5,Octubre!$E$3:$E$32)</f>
        <v>0</v>
      </c>
      <c r="M5" s="6">
        <f>SUMIF(Noviembre!$C$3:$C$32,$A5,Noviembre!$E$3:$E$32)</f>
        <v>0</v>
      </c>
      <c r="N5" s="6">
        <f>SUMIF(Diciembre!$C$3:$C$32,$A5,Diciembre!$E$3:$E$32)</f>
        <v>0</v>
      </c>
      <c r="O5" s="7">
        <f t="shared" si="0"/>
        <v>160.15</v>
      </c>
      <c r="P5" s="8">
        <f t="shared" si="1"/>
        <v>0</v>
      </c>
      <c r="Q5" s="5" t="s">
        <v>19</v>
      </c>
    </row>
    <row r="6" spans="1:17" ht="15" customHeight="1" x14ac:dyDescent="0.25">
      <c r="A6" s="5" t="str">
        <f>Categorías!A5</f>
        <v>Suscripciones ocio</v>
      </c>
      <c r="B6" s="5" t="str">
        <f>Categorías!B5</f>
        <v>Ocio</v>
      </c>
      <c r="C6" s="6">
        <f>SUMIF(Enero!$C$3:$C$32,$A6,Enero!$E$3:$E$32)</f>
        <v>0</v>
      </c>
      <c r="D6" s="6">
        <f>SUMIF(Febrero!$C$3:$C$32,$A6,Febrero!$E$3:$E$32)</f>
        <v>0</v>
      </c>
      <c r="E6" s="6">
        <f>SUMIF(Marzo!$C$3:$C$32,$A6,Marzo!$E$3:$E$32)</f>
        <v>0</v>
      </c>
      <c r="F6" s="6">
        <f>SUMIF(Abril!$C$3:$C$32,$A6,Abril!$E$3:$E$32)</f>
        <v>0</v>
      </c>
      <c r="G6" s="6">
        <f>SUMIF(Mayo!$C$3:$C$32,$A6,Mayo!$E$3:$E$32)</f>
        <v>0</v>
      </c>
      <c r="H6" s="6">
        <f>SUMIF(Junio!$C$3:$C$32,$A6,Junio!$E$3:$E$32)</f>
        <v>0</v>
      </c>
      <c r="I6" s="6">
        <f>SUMIF(Julio!$C$3:$C$32,$A6,Julio!$E$3:$E$32)</f>
        <v>8.5</v>
      </c>
      <c r="J6" s="6">
        <f>SUMIF(Agosto!$C$3:$C$32,$A6,Agosto!$E$3:$E$32)</f>
        <v>11</v>
      </c>
      <c r="K6" s="6">
        <f>SUMIF(Septiembre!$C$3:$C$32,$A6,Septiembre!$E$3:$E$32)</f>
        <v>8.5</v>
      </c>
      <c r="L6" s="6">
        <f>SUMIF(Octubre!$C$3:$C$32,$A6,Octubre!$E$3:$E$32)</f>
        <v>0</v>
      </c>
      <c r="M6" s="6">
        <f>SUMIF(Noviembre!$C$3:$C$32,$A6,Noviembre!$E$3:$E$32)</f>
        <v>0</v>
      </c>
      <c r="N6" s="6">
        <f>SUMIF(Diciembre!$C$3:$C$32,$A6,Diciembre!$E$3:$E$32)</f>
        <v>0</v>
      </c>
      <c r="O6" s="7">
        <f t="shared" si="0"/>
        <v>28</v>
      </c>
      <c r="P6" s="8">
        <f t="shared" si="1"/>
        <v>0</v>
      </c>
      <c r="Q6" s="5" t="s">
        <v>20</v>
      </c>
    </row>
    <row r="7" spans="1:17" ht="15" customHeight="1" x14ac:dyDescent="0.25">
      <c r="A7" s="5" t="str">
        <f>Categorías!A6</f>
        <v>Viajes</v>
      </c>
      <c r="B7" s="5" t="str">
        <f>Categorías!B6</f>
        <v>Ocio</v>
      </c>
      <c r="C7" s="6">
        <f>SUMIF(Enero!$C$3:$C$32,$A7,Enero!$E$3:$E$32)</f>
        <v>0</v>
      </c>
      <c r="D7" s="6">
        <f>SUMIF(Febrero!$C$3:$C$32,$A7,Febrero!$E$3:$E$32)</f>
        <v>0</v>
      </c>
      <c r="E7" s="6">
        <f>SUMIF(Marzo!$C$3:$C$32,$A7,Marzo!$E$3:$E$32)</f>
        <v>0</v>
      </c>
      <c r="F7" s="6">
        <f>SUMIF(Abril!$C$3:$C$32,$A7,Abril!$E$3:$E$32)</f>
        <v>0</v>
      </c>
      <c r="G7" s="6">
        <f>SUMIF(Mayo!$C$3:$C$32,$A7,Mayo!$E$3:$E$32)</f>
        <v>0</v>
      </c>
      <c r="H7" s="6">
        <f>SUMIF(Junio!$C$3:$C$32,$A7,Junio!$E$3:$E$32)</f>
        <v>0</v>
      </c>
      <c r="I7" s="6">
        <f>SUMIF(Julio!$C$3:$C$32,$A7,Julio!$E$3:$E$32)</f>
        <v>0</v>
      </c>
      <c r="J7" s="6">
        <f>SUMIF(Agosto!$C$3:$C$32,$A7,Agosto!$E$3:$E$32)</f>
        <v>0</v>
      </c>
      <c r="K7" s="6">
        <f>SUMIF(Septiembre!$C$3:$C$32,$A7,Septiembre!$E$3:$E$32)</f>
        <v>0</v>
      </c>
      <c r="L7" s="6">
        <f>SUMIF(Octubre!$C$3:$C$32,$A7,Octubre!$E$3:$E$32)</f>
        <v>0</v>
      </c>
      <c r="M7" s="6">
        <f>SUMIF(Noviembre!$C$3:$C$32,$A7,Noviembre!$E$3:$E$32)</f>
        <v>0</v>
      </c>
      <c r="N7" s="6">
        <f>SUMIF(Diciembre!$C$3:$C$32,$A7,Diciembre!$E$3:$E$32)</f>
        <v>0</v>
      </c>
      <c r="O7" s="7">
        <f t="shared" si="0"/>
        <v>0</v>
      </c>
      <c r="P7" s="8">
        <f t="shared" si="1"/>
        <v>0</v>
      </c>
      <c r="Q7" s="5" t="s">
        <v>21</v>
      </c>
    </row>
    <row r="8" spans="1:17" ht="15" customHeight="1" x14ac:dyDescent="0.25">
      <c r="A8" s="5" t="str">
        <f>Categorías!A7</f>
        <v>Padel</v>
      </c>
      <c r="B8" s="5" t="str">
        <f>Categorías!B7</f>
        <v>Ocio</v>
      </c>
      <c r="C8" s="6">
        <f>SUMIF(Enero!$C$3:$C$32,$A8,Enero!$E$3:$E$32)</f>
        <v>0</v>
      </c>
      <c r="D8" s="6">
        <f>SUMIF(Febrero!$C$3:$C$32,$A8,Febrero!$E$3:$E$32)</f>
        <v>0</v>
      </c>
      <c r="E8" s="6">
        <f>SUMIF(Marzo!$C$3:$C$32,$A8,Marzo!$E$3:$E$32)</f>
        <v>0</v>
      </c>
      <c r="F8" s="6">
        <f>SUMIF(Abril!$C$3:$C$32,$A8,Abril!$E$3:$E$32)</f>
        <v>0</v>
      </c>
      <c r="G8" s="6">
        <f>SUMIF(Mayo!$C$3:$C$32,$A8,Mayo!$E$3:$E$32)</f>
        <v>0</v>
      </c>
      <c r="H8" s="6">
        <f>SUMIF(Junio!$C$3:$C$32,$A8,Junio!$E$3:$E$32)</f>
        <v>0</v>
      </c>
      <c r="I8" s="6">
        <f>SUMIF(Julio!$C$3:$C$32,$A8,Julio!$E$3:$E$32)</f>
        <v>15.96</v>
      </c>
      <c r="J8" s="6">
        <f>SUMIF(Agosto!$C$3:$C$32,$A8,Agosto!$E$3:$E$32)</f>
        <v>12.3</v>
      </c>
      <c r="K8" s="6">
        <f>SUMIF(Septiembre!$C$3:$C$32,$A8,Septiembre!$E$3:$E$32)</f>
        <v>36.950000000000003</v>
      </c>
      <c r="L8" s="6">
        <f>SUMIF(Octubre!$C$3:$C$32,$A8,Octubre!$E$3:$E$32)</f>
        <v>0</v>
      </c>
      <c r="M8" s="6">
        <f>SUMIF(Noviembre!$C$3:$C$32,$A8,Noviembre!$E$3:$E$32)</f>
        <v>0</v>
      </c>
      <c r="N8" s="6">
        <f>SUMIF(Diciembre!$C$3:$C$32,$A8,Diciembre!$E$3:$E$32)</f>
        <v>0</v>
      </c>
      <c r="O8" s="7">
        <f t="shared" si="0"/>
        <v>65.210000000000008</v>
      </c>
      <c r="P8" s="8">
        <f t="shared" si="1"/>
        <v>0</v>
      </c>
      <c r="Q8" s="5" t="s">
        <v>22</v>
      </c>
    </row>
    <row r="9" spans="1:17" ht="15" customHeight="1" x14ac:dyDescent="0.25">
      <c r="A9" s="5" t="str">
        <f>Categorías!A8</f>
        <v>Alimentación</v>
      </c>
      <c r="B9" s="5" t="str">
        <f>Categorías!B8</f>
        <v>Ocio</v>
      </c>
      <c r="C9" s="6">
        <f>SUMIF(Enero!$C$3:$C$32,$A9,Enero!$E$3:$E$32)</f>
        <v>0</v>
      </c>
      <c r="D9" s="6">
        <f>SUMIF(Febrero!$C$3:$C$32,$A9,Febrero!$E$3:$E$32)</f>
        <v>0</v>
      </c>
      <c r="E9" s="6">
        <f>SUMIF(Marzo!$C$3:$C$32,$A9,Marzo!$E$3:$E$32)</f>
        <v>0</v>
      </c>
      <c r="F9" s="6">
        <f>SUMIF(Abril!$C$3:$C$32,$A9,Abril!$E$3:$E$32)</f>
        <v>0</v>
      </c>
      <c r="G9" s="6">
        <f>SUMIF(Mayo!$C$3:$C$32,$A9,Mayo!$E$3:$E$32)</f>
        <v>0</v>
      </c>
      <c r="H9" s="6">
        <f>SUMIF(Junio!$C$3:$C$32,$A9,Junio!$E$3:$E$32)</f>
        <v>0</v>
      </c>
      <c r="I9" s="6">
        <f>SUMIF(Julio!$C$3:$C$32,$A9,Julio!$E$3:$E$32)</f>
        <v>14.8</v>
      </c>
      <c r="J9" s="6">
        <f>SUMIF(Agosto!$C$3:$C$32,$A9,Agosto!$E$3:$E$32)</f>
        <v>21.6</v>
      </c>
      <c r="K9" s="6">
        <f>SUMIF(Septiembre!$C$3:$C$32,$A9,Septiembre!$E$3:$E$32)</f>
        <v>1.89</v>
      </c>
      <c r="L9" s="6">
        <f>SUMIF(Octubre!$C$3:$C$32,$A9,Octubre!$E$3:$E$32)</f>
        <v>0</v>
      </c>
      <c r="M9" s="6">
        <f>SUMIF(Noviembre!$C$3:$C$32,$A9,Noviembre!$E$3:$E$32)</f>
        <v>0</v>
      </c>
      <c r="N9" s="6">
        <f>SUMIF(Diciembre!$C$3:$C$32,$A9,Diciembre!$E$3:$E$32)</f>
        <v>0</v>
      </c>
      <c r="O9" s="7">
        <f t="shared" si="0"/>
        <v>38.290000000000006</v>
      </c>
      <c r="P9" s="8">
        <f t="shared" si="1"/>
        <v>0</v>
      </c>
      <c r="Q9" s="5" t="s">
        <v>23</v>
      </c>
    </row>
    <row r="10" spans="1:17" ht="15" customHeight="1" x14ac:dyDescent="0.25">
      <c r="A10" s="5" t="str">
        <f>Categorías!A9</f>
        <v>Barça</v>
      </c>
      <c r="B10" s="5" t="str">
        <f>Categorías!B9</f>
        <v>Ocio</v>
      </c>
      <c r="C10" s="6">
        <f>SUMIF(Enero!$C$3:$C$32,$A10,Enero!$E$3:$E$32)</f>
        <v>0</v>
      </c>
      <c r="D10" s="6">
        <f>SUMIF(Febrero!$C$3:$C$32,$A10,Febrero!$E$3:$E$32)</f>
        <v>0</v>
      </c>
      <c r="E10" s="6">
        <f>SUMIF(Marzo!$C$3:$C$32,$A10,Marzo!$E$3:$E$32)</f>
        <v>0</v>
      </c>
      <c r="F10" s="6">
        <f>SUMIF(Abril!$C$3:$C$32,$A10,Abril!$E$3:$E$32)</f>
        <v>0</v>
      </c>
      <c r="G10" s="6">
        <f>SUMIF(Mayo!$C$3:$C$32,$A10,Mayo!$E$3:$E$32)</f>
        <v>0</v>
      </c>
      <c r="H10" s="6">
        <f>SUMIF(Junio!$C$3:$C$32,$A10,Junio!$E$3:$E$32)</f>
        <v>0</v>
      </c>
      <c r="I10" s="6">
        <f>SUMIF(Julio!$C$3:$C$32,$A10,Julio!$E$3:$E$32)</f>
        <v>0</v>
      </c>
      <c r="J10" s="6">
        <f>SUMIF(Agosto!$C$3:$C$32,$A10,Agosto!$E$3:$E$32)</f>
        <v>0</v>
      </c>
      <c r="K10" s="6">
        <f>SUMIF(Septiembre!$C$3:$C$32,$A10,Septiembre!$E$3:$E$32)</f>
        <v>197</v>
      </c>
      <c r="L10" s="6">
        <f>SUMIF(Octubre!$C$3:$C$32,$A10,Octubre!$E$3:$E$32)</f>
        <v>0</v>
      </c>
      <c r="M10" s="6">
        <f>SUMIF(Noviembre!$C$3:$C$32,$A10,Noviembre!$E$3:$E$32)</f>
        <v>0</v>
      </c>
      <c r="N10" s="6">
        <f>SUMIF(Diciembre!$C$3:$C$32,$A10,Diciembre!$E$3:$E$32)</f>
        <v>0</v>
      </c>
      <c r="O10" s="7">
        <f t="shared" si="0"/>
        <v>197</v>
      </c>
      <c r="P10" s="8">
        <f t="shared" si="1"/>
        <v>0</v>
      </c>
      <c r="Q10" s="5" t="s">
        <v>24</v>
      </c>
    </row>
    <row r="11" spans="1:17" ht="15" customHeight="1" x14ac:dyDescent="0.25">
      <c r="A11" s="5" t="str">
        <f>Categorías!A10</f>
        <v>Vivienda/Alquiler</v>
      </c>
      <c r="B11" s="5" t="str">
        <f>Categorías!B10</f>
        <v>Ordinario</v>
      </c>
      <c r="C11" s="6">
        <f>SUMIF(Enero!$C$3:$C$32,$A11,Enero!$E$3:$E$32)</f>
        <v>0</v>
      </c>
      <c r="D11" s="6">
        <f>SUMIF(Febrero!$C$3:$C$32,$A11,Febrero!$E$3:$E$32)</f>
        <v>0</v>
      </c>
      <c r="E11" s="6">
        <f>SUMIF(Marzo!$C$3:$C$32,$A11,Marzo!$E$3:$E$32)</f>
        <v>0</v>
      </c>
      <c r="F11" s="6">
        <f>SUMIF(Abril!$C$3:$C$32,$A11,Abril!$E$3:$E$32)</f>
        <v>0</v>
      </c>
      <c r="G11" s="6">
        <f>SUMIF(Mayo!$C$3:$C$32,$A11,Mayo!$E$3:$E$32)</f>
        <v>0</v>
      </c>
      <c r="H11" s="6">
        <f>SUMIF(Junio!$C$3:$C$32,$A11,Junio!$E$3:$E$32)</f>
        <v>0</v>
      </c>
      <c r="I11" s="6">
        <f>SUMIF(Julio!$C$3:$C$32,$A11,Julio!$E$3:$E$32)</f>
        <v>0</v>
      </c>
      <c r="J11" s="6">
        <f>SUMIF(Agosto!$C$3:$C$32,$A11,Agosto!$E$3:$E$32)</f>
        <v>0</v>
      </c>
      <c r="K11" s="6">
        <f>SUMIF(Septiembre!$C$3:$C$32,$A11,Septiembre!$E$3:$E$32)</f>
        <v>0</v>
      </c>
      <c r="L11" s="6">
        <f>SUMIF(Octubre!$C$3:$C$32,$A11,Octubre!$E$3:$E$32)</f>
        <v>0</v>
      </c>
      <c r="M11" s="6">
        <f>SUMIF(Noviembre!$C$3:$C$32,$A11,Noviembre!$E$3:$E$32)</f>
        <v>0</v>
      </c>
      <c r="N11" s="6">
        <f>SUMIF(Diciembre!$C$3:$C$32,$A11,Diciembre!$E$3:$E$32)</f>
        <v>0</v>
      </c>
      <c r="O11" s="7">
        <f t="shared" si="0"/>
        <v>0</v>
      </c>
      <c r="P11" s="8">
        <f t="shared" si="1"/>
        <v>0</v>
      </c>
      <c r="Q11" s="5" t="s">
        <v>25</v>
      </c>
    </row>
    <row r="12" spans="1:17" ht="15" customHeight="1" x14ac:dyDescent="0.25">
      <c r="A12" s="5" t="str">
        <f>Categorías!A11</f>
        <v>Transporte</v>
      </c>
      <c r="B12" s="5" t="str">
        <f>Categorías!B11</f>
        <v>Ordinario</v>
      </c>
      <c r="C12" s="6">
        <f>SUMIF(Enero!$C$3:$C$32,$A12,Enero!$E$3:$E$32)</f>
        <v>0</v>
      </c>
      <c r="D12" s="6">
        <f>SUMIF(Febrero!$C$3:$C$32,$A12,Febrero!$E$3:$E$32)</f>
        <v>0</v>
      </c>
      <c r="E12" s="6">
        <f>SUMIF(Marzo!$C$3:$C$32,$A12,Marzo!$E$3:$E$32)</f>
        <v>0</v>
      </c>
      <c r="F12" s="6">
        <f>SUMIF(Abril!$C$3:$C$32,$A12,Abril!$E$3:$E$32)</f>
        <v>0</v>
      </c>
      <c r="G12" s="6">
        <f>SUMIF(Mayo!$C$3:$C$32,$A12,Mayo!$E$3:$E$32)</f>
        <v>0</v>
      </c>
      <c r="H12" s="6">
        <f>SUMIF(Junio!$C$3:$C$32,$A12,Junio!$E$3:$E$32)</f>
        <v>0</v>
      </c>
      <c r="I12" s="6">
        <f>SUMIF(Julio!$C$3:$C$32,$A12,Julio!$E$3:$E$32)</f>
        <v>0</v>
      </c>
      <c r="J12" s="6">
        <f>SUMIF(Agosto!$C$3:$C$32,$A12,Agosto!$E$3:$E$32)</f>
        <v>0</v>
      </c>
      <c r="K12" s="6">
        <f>SUMIF(Septiembre!$C$3:$C$32,$A12,Septiembre!$E$3:$E$32)</f>
        <v>13</v>
      </c>
      <c r="L12" s="6">
        <f>SUMIF(Octubre!$C$3:$C$32,$A12,Octubre!$E$3:$E$32)</f>
        <v>0</v>
      </c>
      <c r="M12" s="6">
        <f>SUMIF(Noviembre!$C$3:$C$32,$A12,Noviembre!$E$3:$E$32)</f>
        <v>0</v>
      </c>
      <c r="N12" s="6">
        <f>SUMIF(Diciembre!$C$3:$C$32,$A12,Diciembre!$E$3:$E$32)</f>
        <v>0</v>
      </c>
      <c r="O12" s="7">
        <f t="shared" si="0"/>
        <v>13</v>
      </c>
      <c r="P12" s="8">
        <f t="shared" si="1"/>
        <v>0</v>
      </c>
      <c r="Q12" s="5" t="s">
        <v>26</v>
      </c>
    </row>
    <row r="13" spans="1:17" ht="15" customHeight="1" x14ac:dyDescent="0.25">
      <c r="A13" s="5" t="str">
        <f>Categorías!A12</f>
        <v>Salud</v>
      </c>
      <c r="B13" s="5" t="str">
        <f>Categorías!B12</f>
        <v>Ordinario</v>
      </c>
      <c r="C13" s="6">
        <f>SUMIF(Enero!$C$3:$C$32,$A13,Enero!$E$3:$E$32)</f>
        <v>0</v>
      </c>
      <c r="D13" s="6">
        <f>SUMIF(Febrero!$C$3:$C$32,$A13,Febrero!$E$3:$E$32)</f>
        <v>0</v>
      </c>
      <c r="E13" s="6">
        <f>SUMIF(Marzo!$C$3:$C$32,$A13,Marzo!$E$3:$E$32)</f>
        <v>0</v>
      </c>
      <c r="F13" s="6">
        <f>SUMIF(Abril!$C$3:$C$32,$A13,Abril!$E$3:$E$32)</f>
        <v>0</v>
      </c>
      <c r="G13" s="6">
        <f>SUMIF(Mayo!$C$3:$C$32,$A13,Mayo!$E$3:$E$32)</f>
        <v>0</v>
      </c>
      <c r="H13" s="6">
        <f>SUMIF(Junio!$C$3:$C$32,$A13,Junio!$E$3:$E$32)</f>
        <v>0</v>
      </c>
      <c r="I13" s="6">
        <f>SUMIF(Julio!$C$3:$C$32,$A13,Julio!$E$3:$E$32)</f>
        <v>0</v>
      </c>
      <c r="J13" s="6">
        <f>SUMIF(Agosto!$C$3:$C$32,$A13,Agosto!$E$3:$E$32)</f>
        <v>0</v>
      </c>
      <c r="K13" s="6">
        <f>SUMIF(Septiembre!$C$3:$C$32,$A13,Septiembre!$E$3:$E$32)</f>
        <v>0</v>
      </c>
      <c r="L13" s="6">
        <f>SUMIF(Octubre!$C$3:$C$32,$A13,Octubre!$E$3:$E$32)</f>
        <v>0</v>
      </c>
      <c r="M13" s="6">
        <f>SUMIF(Noviembre!$C$3:$C$32,$A13,Noviembre!$E$3:$E$32)</f>
        <v>0</v>
      </c>
      <c r="N13" s="6">
        <f>SUMIF(Diciembre!$C$3:$C$32,$A13,Diciembre!$E$3:$E$32)</f>
        <v>0</v>
      </c>
      <c r="O13" s="7">
        <f t="shared" si="0"/>
        <v>0</v>
      </c>
      <c r="P13" s="8">
        <f t="shared" si="1"/>
        <v>0</v>
      </c>
      <c r="Q13" s="5" t="s">
        <v>27</v>
      </c>
    </row>
    <row r="14" spans="1:17" ht="15" customHeight="1" x14ac:dyDescent="0.25">
      <c r="A14" s="5" t="str">
        <f>Categorías!A13</f>
        <v>Barbero</v>
      </c>
      <c r="B14" s="5" t="str">
        <f>Categorías!B13</f>
        <v>Ordinario</v>
      </c>
      <c r="C14" s="6">
        <f>SUMIF(Enero!$C$3:$C$32,$A14,Enero!$E$3:$E$32)</f>
        <v>0</v>
      </c>
      <c r="D14" s="6">
        <f>SUMIF(Febrero!$C$3:$C$32,$A14,Febrero!$E$3:$E$32)</f>
        <v>0</v>
      </c>
      <c r="E14" s="6">
        <f>SUMIF(Marzo!$C$3:$C$32,$A14,Marzo!$E$3:$E$32)</f>
        <v>0</v>
      </c>
      <c r="F14" s="6">
        <f>SUMIF(Abril!$C$3:$C$32,$A14,Abril!$E$3:$E$32)</f>
        <v>0</v>
      </c>
      <c r="G14" s="6">
        <f>SUMIF(Mayo!$C$3:$C$32,$A14,Mayo!$E$3:$E$32)</f>
        <v>0</v>
      </c>
      <c r="H14" s="6">
        <f>SUMIF(Junio!$C$3:$C$32,$A14,Junio!$E$3:$E$32)</f>
        <v>0</v>
      </c>
      <c r="I14" s="6">
        <f>SUMIF(Julio!$C$3:$C$32,$A14,Julio!$E$3:$E$32)</f>
        <v>15</v>
      </c>
      <c r="J14" s="6">
        <f>SUMIF(Agosto!$C$3:$C$32,$A14,Agosto!$E$3:$E$32)</f>
        <v>0</v>
      </c>
      <c r="K14" s="6">
        <f>SUMIF(Septiembre!$C$3:$C$32,$A14,Septiembre!$E$3:$E$32)</f>
        <v>15</v>
      </c>
      <c r="L14" s="6">
        <f>SUMIF(Octubre!$C$3:$C$32,$A14,Octubre!$E$3:$E$32)</f>
        <v>0</v>
      </c>
      <c r="M14" s="6">
        <f>SUMIF(Noviembre!$C$3:$C$32,$A14,Noviembre!$E$3:$E$32)</f>
        <v>0</v>
      </c>
      <c r="N14" s="6">
        <f>SUMIF(Diciembre!$C$3:$C$32,$A14,Diciembre!$E$3:$E$32)</f>
        <v>0</v>
      </c>
      <c r="O14" s="7">
        <f t="shared" si="0"/>
        <v>30</v>
      </c>
      <c r="P14" s="8">
        <f t="shared" si="1"/>
        <v>0</v>
      </c>
      <c r="Q14" s="5" t="s">
        <v>28</v>
      </c>
    </row>
    <row r="15" spans="1:17" ht="15" customHeight="1" x14ac:dyDescent="0.25">
      <c r="A15" s="5" t="str">
        <f>Categorías!A14</f>
        <v>Otros</v>
      </c>
      <c r="B15" s="5" t="str">
        <f>Categorías!B14</f>
        <v>Ordinario</v>
      </c>
      <c r="C15" s="6">
        <f>SUMIF(Enero!$C$3:$C$32,$A15,Enero!$E$3:$E$32)</f>
        <v>0</v>
      </c>
      <c r="D15" s="6">
        <f>SUMIF(Febrero!$C$3:$C$32,$A15,Febrero!$E$3:$E$32)</f>
        <v>0</v>
      </c>
      <c r="E15" s="6">
        <f>SUMIF(Marzo!$C$3:$C$32,$A15,Marzo!$E$3:$E$32)</f>
        <v>0</v>
      </c>
      <c r="F15" s="6">
        <f>SUMIF(Abril!$C$3:$C$32,$A15,Abril!$E$3:$E$32)</f>
        <v>0</v>
      </c>
      <c r="G15" s="6">
        <f>SUMIF(Mayo!$C$3:$C$32,$A15,Mayo!$E$3:$E$32)</f>
        <v>0</v>
      </c>
      <c r="H15" s="6">
        <f>SUMIF(Junio!$C$3:$C$32,$A15,Junio!$E$3:$E$32)</f>
        <v>0</v>
      </c>
      <c r="I15" s="6">
        <f>SUMIF(Julio!$C$3:$C$32,$A15,Julio!$E$3:$E$32)</f>
        <v>0</v>
      </c>
      <c r="J15" s="6">
        <f>SUMIF(Agosto!$C$3:$C$32,$A15,Agosto!$E$3:$E$32)</f>
        <v>0</v>
      </c>
      <c r="K15" s="6">
        <f>SUMIF(Septiembre!$C$3:$C$32,$A15,Septiembre!$E$3:$E$32)</f>
        <v>0</v>
      </c>
      <c r="L15" s="6">
        <f>SUMIF(Octubre!$C$3:$C$32,$A15,Octubre!$E$3:$E$32)</f>
        <v>0</v>
      </c>
      <c r="M15" s="6">
        <f>SUMIF(Noviembre!$C$3:$C$32,$A15,Noviembre!$E$3:$E$32)</f>
        <v>0</v>
      </c>
      <c r="N15" s="6">
        <f>SUMIF(Diciembre!$C$3:$C$32,$A15,Diciembre!$E$3:$E$32)</f>
        <v>0</v>
      </c>
      <c r="O15" s="7">
        <f t="shared" si="0"/>
        <v>0</v>
      </c>
      <c r="P15" s="8">
        <f t="shared" si="1"/>
        <v>0</v>
      </c>
      <c r="Q15" s="5" t="s">
        <v>29</v>
      </c>
    </row>
    <row r="16" spans="1:17" ht="15" customHeight="1" x14ac:dyDescent="0.25">
      <c r="A16" s="5" t="str">
        <f>Categorías!A15</f>
        <v>Burocracia</v>
      </c>
      <c r="B16" s="5" t="str">
        <f>Categorías!B15</f>
        <v>Extraordinario Inevitable</v>
      </c>
      <c r="C16" s="6">
        <f>SUMIF(Enero!$C$3:$C$32,$A16,Enero!$E$3:$E$32)</f>
        <v>0</v>
      </c>
      <c r="D16" s="6">
        <f>SUMIF(Febrero!$C$3:$C$32,$A16,Febrero!$E$3:$E$32)</f>
        <v>0</v>
      </c>
      <c r="E16" s="6">
        <f>SUMIF(Marzo!$C$3:$C$32,$A16,Marzo!$E$3:$E$32)</f>
        <v>0</v>
      </c>
      <c r="F16" s="6">
        <f>SUMIF(Abril!$C$3:$C$32,$A16,Abril!$E$3:$E$32)</f>
        <v>0</v>
      </c>
      <c r="G16" s="6">
        <f>SUMIF(Mayo!$C$3:$C$32,$A16,Mayo!$E$3:$E$32)</f>
        <v>0</v>
      </c>
      <c r="H16" s="6">
        <f>SUMIF(Junio!$C$3:$C$32,$A16,Junio!$E$3:$E$32)</f>
        <v>0</v>
      </c>
      <c r="I16" s="6">
        <f>SUMIF(Julio!$C$3:$C$32,$A16,Julio!$E$3:$E$32)</f>
        <v>237.3</v>
      </c>
      <c r="J16" s="6">
        <f>SUMIF(Agosto!$C$3:$C$32,$A16,Agosto!$E$3:$E$32)</f>
        <v>0</v>
      </c>
      <c r="K16" s="6">
        <f>SUMIF(Septiembre!$C$3:$C$32,$A16,Septiembre!$E$3:$E$32)</f>
        <v>0</v>
      </c>
      <c r="L16" s="6">
        <f>SUMIF(Octubre!$C$3:$C$32,$A16,Octubre!$E$3:$E$32)</f>
        <v>0</v>
      </c>
      <c r="M16" s="6">
        <f>SUMIF(Noviembre!$C$3:$C$32,$A16,Noviembre!$E$3:$E$32)</f>
        <v>0</v>
      </c>
      <c r="N16" s="6">
        <f>SUMIF(Diciembre!$C$3:$C$32,$A16,Diciembre!$E$3:$E$32)</f>
        <v>0</v>
      </c>
      <c r="O16" s="7">
        <f t="shared" si="0"/>
        <v>237.3</v>
      </c>
      <c r="P16" s="8">
        <f t="shared" si="1"/>
        <v>0</v>
      </c>
      <c r="Q16" s="5" t="s">
        <v>30</v>
      </c>
    </row>
    <row r="17" spans="1:17" ht="15" customHeight="1" x14ac:dyDescent="0.25">
      <c r="A17" s="5" t="str">
        <f>Categorías!A16</f>
        <v>Regalos</v>
      </c>
      <c r="B17" s="5" t="str">
        <f>Categorías!B16</f>
        <v>Extraordinario Evitable</v>
      </c>
      <c r="C17" s="6">
        <f>SUMIF(Enero!$C$3:$C$32,$A17,Enero!$E$3:$E$32)</f>
        <v>0</v>
      </c>
      <c r="D17" s="6">
        <f>SUMIF(Febrero!$C$3:$C$32,$A17,Febrero!$E$3:$E$32)</f>
        <v>0</v>
      </c>
      <c r="E17" s="6">
        <f>SUMIF(Marzo!$C$3:$C$32,$A17,Marzo!$E$3:$E$32)</f>
        <v>0</v>
      </c>
      <c r="F17" s="6">
        <f>SUMIF(Abril!$C$3:$C$32,$A17,Abril!$E$3:$E$32)</f>
        <v>0</v>
      </c>
      <c r="G17" s="6">
        <f>SUMIF(Mayo!$C$3:$C$32,$A17,Mayo!$E$3:$E$32)</f>
        <v>0</v>
      </c>
      <c r="H17" s="6">
        <f>SUMIF(Junio!$C$3:$C$32,$A17,Junio!$E$3:$E$32)</f>
        <v>0</v>
      </c>
      <c r="I17" s="6">
        <f>SUMIF(Julio!$C$3:$C$32,$A17,Julio!$E$3:$E$32)</f>
        <v>20</v>
      </c>
      <c r="J17" s="6">
        <f>SUMIF(Agosto!$C$3:$C$32,$A17,Agosto!$E$3:$E$32)</f>
        <v>6.35</v>
      </c>
      <c r="K17" s="6">
        <f>SUMIF(Septiembre!$C$3:$C$32,$A17,Septiembre!$E$3:$E$32)</f>
        <v>0</v>
      </c>
      <c r="L17" s="6">
        <f>SUMIF(Octubre!$C$3:$C$32,$A17,Octubre!$E$3:$E$32)</f>
        <v>0</v>
      </c>
      <c r="M17" s="6">
        <f>SUMIF(Noviembre!$C$3:$C$32,$A17,Noviembre!$E$3:$E$32)</f>
        <v>0</v>
      </c>
      <c r="N17" s="6">
        <f>SUMIF(Diciembre!$C$3:$C$32,$A17,Diciembre!$E$3:$E$32)</f>
        <v>0</v>
      </c>
      <c r="O17" s="7">
        <f t="shared" si="0"/>
        <v>26.35</v>
      </c>
      <c r="P17" s="8">
        <f t="shared" si="1"/>
        <v>0</v>
      </c>
      <c r="Q17" s="5" t="s">
        <v>31</v>
      </c>
    </row>
    <row r="18" spans="1:17" x14ac:dyDescent="0.25">
      <c r="A18" s="5" t="str">
        <f>Categorías!A17</f>
        <v>Multas</v>
      </c>
      <c r="B18" s="5" t="str">
        <f>Categorías!B17</f>
        <v>Extraordinario Evitable</v>
      </c>
      <c r="C18" s="6">
        <f>SUMIF(Enero!$C$3:$C$32,$A18,Enero!$E$3:$E$32)</f>
        <v>0</v>
      </c>
      <c r="D18" s="6">
        <f>SUMIF(Febrero!$C$3:$C$32,$A18,Febrero!$E$3:$E$32)</f>
        <v>0</v>
      </c>
      <c r="E18" s="6">
        <f>SUMIF(Marzo!$C$3:$C$32,$A18,Marzo!$E$3:$E$32)</f>
        <v>0</v>
      </c>
      <c r="F18" s="6">
        <f>SUMIF(Abril!$C$3:$C$32,$A18,Abril!$E$3:$E$32)</f>
        <v>0</v>
      </c>
      <c r="G18" s="6">
        <f>SUMIF(Mayo!$C$3:$C$32,$A18,Mayo!$E$3:$E$32)</f>
        <v>0</v>
      </c>
      <c r="H18" s="6">
        <f>SUMIF(Junio!$C$3:$C$32,$A18,Junio!$E$3:$E$32)</f>
        <v>0</v>
      </c>
      <c r="I18" s="6">
        <f>SUMIF(Julio!$C$3:$C$32,$A18,Julio!$E$3:$E$32)</f>
        <v>50</v>
      </c>
      <c r="J18" s="6">
        <f>SUMIF(Agosto!$C$3:$C$32,$A18,Agosto!$E$3:$E$32)</f>
        <v>0</v>
      </c>
      <c r="K18" s="6">
        <f>SUMIF(Septiembre!$C$3:$C$32,$A18,Septiembre!$E$3:$E$32)</f>
        <v>0</v>
      </c>
      <c r="L18" s="6">
        <f>SUMIF(Octubre!$C$3:$C$32,$A18,Octubre!$E$3:$E$32)</f>
        <v>0</v>
      </c>
      <c r="M18" s="6">
        <f>SUMIF(Noviembre!$C$3:$C$32,$A18,Noviembre!$E$3:$E$32)</f>
        <v>0</v>
      </c>
      <c r="N18" s="6">
        <f>SUMIF(Diciembre!$C$3:$C$32,$A18,Diciembre!$E$3:$E$32)</f>
        <v>0</v>
      </c>
      <c r="O18" s="7">
        <f t="shared" si="0"/>
        <v>50</v>
      </c>
      <c r="P18" s="8">
        <f t="shared" si="1"/>
        <v>0</v>
      </c>
      <c r="Q18" s="5" t="s">
        <v>32</v>
      </c>
    </row>
    <row r="19" spans="1:17" ht="15" customHeight="1" x14ac:dyDescent="0.25">
      <c r="A19" s="5" t="str">
        <f>Categorías!A18</f>
        <v>Otros extraordinarios</v>
      </c>
      <c r="B19" s="5" t="str">
        <f>Categorías!B18</f>
        <v>Extraordinario Inevitable</v>
      </c>
      <c r="C19" s="6">
        <f>SUMIF(Enero!$C$3:$C$32,$A19,Enero!$E$3:$E$32)</f>
        <v>0</v>
      </c>
      <c r="D19" s="6">
        <f>SUMIF(Febrero!$C$3:$C$32,$A19,Febrero!$E$3:$E$32)</f>
        <v>0</v>
      </c>
      <c r="E19" s="6">
        <f>SUMIF(Marzo!$C$3:$C$32,$A19,Marzo!$E$3:$E$32)</f>
        <v>0</v>
      </c>
      <c r="F19" s="6">
        <f>SUMIF(Abril!$C$3:$C$32,$A19,Abril!$E$3:$E$32)</f>
        <v>0</v>
      </c>
      <c r="G19" s="6">
        <f>SUMIF(Mayo!$C$3:$C$32,$A19,Mayo!$E$3:$E$32)</f>
        <v>0</v>
      </c>
      <c r="H19" s="6">
        <f>SUMIF(Junio!$C$3:$C$32,$A19,Junio!$E$3:$E$32)</f>
        <v>0</v>
      </c>
      <c r="I19" s="6">
        <f>SUMIF(Julio!$C$3:$C$32,$A19,Julio!$E$3:$E$32)</f>
        <v>0</v>
      </c>
      <c r="J19" s="6">
        <f>SUMIF(Agosto!$C$3:$C$32,$A19,Agosto!$E$3:$E$32)</f>
        <v>0</v>
      </c>
      <c r="K19" s="6">
        <f>SUMIF(Septiembre!$C$3:$C$32,$A19,Septiembre!$E$3:$E$32)</f>
        <v>0</v>
      </c>
      <c r="L19" s="6">
        <f>SUMIF(Octubre!$C$3:$C$32,$A19,Octubre!$E$3:$E$32)</f>
        <v>0</v>
      </c>
      <c r="M19" s="6">
        <f>SUMIF(Noviembre!$C$3:$C$32,$A19,Noviembre!$E$3:$E$32)</f>
        <v>0</v>
      </c>
      <c r="N19" s="6">
        <f>SUMIF(Diciembre!$C$3:$C$32,$A19,Diciembre!$E$3:$E$32)</f>
        <v>0</v>
      </c>
      <c r="O19" s="7">
        <f t="shared" si="0"/>
        <v>0</v>
      </c>
      <c r="P19" s="8">
        <f>IFERROR(O19/$O$21,0)</f>
        <v>0</v>
      </c>
      <c r="Q19" s="5" t="s">
        <v>33</v>
      </c>
    </row>
    <row r="21" spans="1:17" ht="15" customHeight="1" x14ac:dyDescent="0.25">
      <c r="A21" s="9" t="s">
        <v>34</v>
      </c>
      <c r="C21" s="10">
        <f t="shared" ref="C21:O21" si="2">SUM(C3:C19)</f>
        <v>0</v>
      </c>
      <c r="D21" s="10">
        <f t="shared" si="2"/>
        <v>0</v>
      </c>
      <c r="E21" s="10">
        <f t="shared" si="2"/>
        <v>0</v>
      </c>
      <c r="F21" s="10">
        <f t="shared" si="2"/>
        <v>0</v>
      </c>
      <c r="G21" s="10">
        <f t="shared" si="2"/>
        <v>0</v>
      </c>
      <c r="H21" s="10">
        <f t="shared" si="2"/>
        <v>0</v>
      </c>
      <c r="I21" s="10">
        <f t="shared" si="2"/>
        <v>563.96</v>
      </c>
      <c r="J21" s="10">
        <f t="shared" si="2"/>
        <v>76.5</v>
      </c>
      <c r="K21" s="10">
        <f t="shared" si="2"/>
        <v>284.84000000000003</v>
      </c>
      <c r="L21" s="10">
        <f t="shared" si="2"/>
        <v>0</v>
      </c>
      <c r="M21" s="10">
        <f t="shared" si="2"/>
        <v>0</v>
      </c>
      <c r="N21" s="10">
        <f t="shared" si="2"/>
        <v>0</v>
      </c>
      <c r="O21" s="10">
        <f>SUM(O3:O19)</f>
        <v>925.30000000000007</v>
      </c>
    </row>
    <row r="22" spans="1:17" ht="15" customHeight="1" x14ac:dyDescent="0.25"/>
    <row r="23" spans="1:17" ht="15" customHeight="1" x14ac:dyDescent="0.25">
      <c r="A23" s="11" t="s">
        <v>35</v>
      </c>
      <c r="C23" s="12">
        <f t="shared" ref="C23:N23" si="3">SUMIF($B$3:$B$19,"Ocio",C3:C19)</f>
        <v>0</v>
      </c>
      <c r="D23" s="12">
        <f t="shared" si="3"/>
        <v>0</v>
      </c>
      <c r="E23" s="12">
        <f t="shared" si="3"/>
        <v>0</v>
      </c>
      <c r="F23" s="12">
        <f t="shared" si="3"/>
        <v>0</v>
      </c>
      <c r="G23" s="12">
        <f t="shared" si="3"/>
        <v>0</v>
      </c>
      <c r="H23" s="12">
        <f t="shared" si="3"/>
        <v>0</v>
      </c>
      <c r="I23" s="12">
        <f t="shared" si="3"/>
        <v>241.66000000000003</v>
      </c>
      <c r="J23" s="12">
        <f t="shared" si="3"/>
        <v>70.150000000000006</v>
      </c>
      <c r="K23" s="12">
        <f t="shared" si="3"/>
        <v>256.84000000000003</v>
      </c>
      <c r="L23" s="12">
        <f t="shared" si="3"/>
        <v>0</v>
      </c>
      <c r="M23" s="12">
        <f t="shared" si="3"/>
        <v>0</v>
      </c>
      <c r="N23" s="12">
        <f t="shared" si="3"/>
        <v>0</v>
      </c>
      <c r="O23" s="12">
        <f>SUM(C23:N23)</f>
        <v>568.65000000000009</v>
      </c>
      <c r="P23" s="13">
        <f>O23/$O$21</f>
        <v>0.61455744083000108</v>
      </c>
      <c r="Q23" s="11" t="s">
        <v>35</v>
      </c>
    </row>
    <row r="24" spans="1:17" x14ac:dyDescent="0.25">
      <c r="A24" s="11" t="s">
        <v>36</v>
      </c>
      <c r="C24" s="12">
        <f t="shared" ref="C24:N24" si="4">SUMIF($B$3:$B$19,"Ordinario",C3:C19)</f>
        <v>0</v>
      </c>
      <c r="D24" s="12">
        <f t="shared" si="4"/>
        <v>0</v>
      </c>
      <c r="E24" s="12">
        <f t="shared" si="4"/>
        <v>0</v>
      </c>
      <c r="F24" s="12">
        <f t="shared" si="4"/>
        <v>0</v>
      </c>
      <c r="G24" s="12">
        <f t="shared" si="4"/>
        <v>0</v>
      </c>
      <c r="H24" s="12">
        <f t="shared" si="4"/>
        <v>0</v>
      </c>
      <c r="I24" s="12">
        <f t="shared" si="4"/>
        <v>15</v>
      </c>
      <c r="J24" s="12">
        <f t="shared" si="4"/>
        <v>0</v>
      </c>
      <c r="K24" s="12">
        <f t="shared" si="4"/>
        <v>28</v>
      </c>
      <c r="L24" s="12">
        <f t="shared" si="4"/>
        <v>0</v>
      </c>
      <c r="M24" s="12">
        <f t="shared" si="4"/>
        <v>0</v>
      </c>
      <c r="N24" s="12">
        <f t="shared" si="4"/>
        <v>0</v>
      </c>
      <c r="O24" s="12">
        <f>SUM(C24:N24)</f>
        <v>43</v>
      </c>
      <c r="P24" s="13">
        <f>O24/$O$21</f>
        <v>4.6471414676321189E-2</v>
      </c>
      <c r="Q24" s="11" t="s">
        <v>36</v>
      </c>
    </row>
    <row r="25" spans="1:17" x14ac:dyDescent="0.25">
      <c r="A25" s="11" t="s">
        <v>38</v>
      </c>
      <c r="C25" s="12">
        <f t="shared" ref="C25:N25" si="5">SUMIF($B$3:$B$19,"Extraordinario Evitable",C3:C19)</f>
        <v>0</v>
      </c>
      <c r="D25" s="12">
        <f t="shared" si="5"/>
        <v>0</v>
      </c>
      <c r="E25" s="12">
        <f t="shared" si="5"/>
        <v>0</v>
      </c>
      <c r="F25" s="12">
        <f t="shared" si="5"/>
        <v>0</v>
      </c>
      <c r="G25" s="12">
        <f t="shared" si="5"/>
        <v>0</v>
      </c>
      <c r="H25" s="12">
        <f t="shared" si="5"/>
        <v>0</v>
      </c>
      <c r="I25" s="12">
        <f t="shared" si="5"/>
        <v>70</v>
      </c>
      <c r="J25" s="12">
        <f t="shared" si="5"/>
        <v>6.35</v>
      </c>
      <c r="K25" s="12">
        <f t="shared" si="5"/>
        <v>0</v>
      </c>
      <c r="L25" s="12">
        <f t="shared" si="5"/>
        <v>0</v>
      </c>
      <c r="M25" s="12">
        <f t="shared" si="5"/>
        <v>0</v>
      </c>
      <c r="N25" s="12">
        <f t="shared" si="5"/>
        <v>0</v>
      </c>
      <c r="O25" s="12">
        <f>SUM(C25:N25)</f>
        <v>76.349999999999994</v>
      </c>
      <c r="P25" s="14">
        <f>O25/$O$21</f>
        <v>8.2513779314816807E-2</v>
      </c>
      <c r="Q25" s="15" t="s">
        <v>38</v>
      </c>
    </row>
    <row r="26" spans="1:17" x14ac:dyDescent="0.25">
      <c r="A26" s="11" t="s">
        <v>39</v>
      </c>
      <c r="C26" s="12">
        <f t="shared" ref="C26:N26" si="6">SUMIF($B$3:$B$19,"Extraordinario Inevitable",C3:C19)</f>
        <v>0</v>
      </c>
      <c r="D26" s="12">
        <f t="shared" si="6"/>
        <v>0</v>
      </c>
      <c r="E26" s="12">
        <f t="shared" si="6"/>
        <v>0</v>
      </c>
      <c r="F26" s="12">
        <f t="shared" si="6"/>
        <v>0</v>
      </c>
      <c r="G26" s="12">
        <f t="shared" si="6"/>
        <v>0</v>
      </c>
      <c r="H26" s="12">
        <f t="shared" si="6"/>
        <v>0</v>
      </c>
      <c r="I26" s="12">
        <f t="shared" si="6"/>
        <v>237.3</v>
      </c>
      <c r="J26" s="12">
        <f t="shared" si="6"/>
        <v>0</v>
      </c>
      <c r="K26" s="12">
        <f t="shared" si="6"/>
        <v>0</v>
      </c>
      <c r="L26" s="12">
        <f t="shared" si="6"/>
        <v>0</v>
      </c>
      <c r="M26" s="12">
        <f t="shared" si="6"/>
        <v>0</v>
      </c>
      <c r="N26" s="12">
        <f t="shared" si="6"/>
        <v>0</v>
      </c>
      <c r="O26" s="12">
        <f>SUM(C26:N26)</f>
        <v>237.3</v>
      </c>
      <c r="P26" s="14">
        <f>O26/$O$21</f>
        <v>0.25645736517886092</v>
      </c>
      <c r="Q26" s="15" t="s">
        <v>39</v>
      </c>
    </row>
  </sheetData>
  <mergeCells count="1">
    <mergeCell ref="A1:Q1"/>
  </mergeCells>
  <conditionalFormatting sqref="P3:P1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{15C8D895-32FF-4A8C-B950-DA981EE4DE44}</x14:id>
        </ext>
      </extLst>
    </cfRule>
  </conditionalFormatting>
  <conditionalFormatting sqref="O2:P19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{2DE93010-3DCB-4820-945C-802EFA97819E}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C8D895-32FF-4A8C-B950-DA981EE4DE44}">
            <x14:dataBar axisPosition="none">
              <x14:cfvo type="min"/>
              <x14:cfvo type="max"/>
              <x14:negativeFillColor rgb="FFFF555A"/>
            </x14:dataBar>
          </x14:cfRule>
          <xm:sqref>P3:P19</xm:sqref>
        </x14:conditionalFormatting>
        <x14:conditionalFormatting xmlns:xm="http://schemas.microsoft.com/office/excel/2006/main">
          <x14:cfRule type="dataBar" id="{2DE93010-3DCB-4820-945C-802EFA97819E}">
            <x14:dataBar axisPosition="none">
              <x14:cfvo type="min"/>
              <x14:cfvo type="max"/>
              <x14:negativeFillColor rgb="FFFF555A"/>
            </x14:dataBar>
          </x14:cfRule>
          <xm:sqref>O2:P19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showGridLines="0" topLeftCell="A4" zoomScaleNormal="100" workbookViewId="0">
      <selection activeCell="E18" sqref="E18"/>
    </sheetView>
  </sheetViews>
  <sheetFormatPr baseColWidth="10" defaultColWidth="8.7109375" defaultRowHeight="15" x14ac:dyDescent="0.25"/>
  <cols>
    <col min="1" max="1" width="100" customWidth="1"/>
    <col min="2" max="2" width="28" customWidth="1"/>
    <col min="3" max="3" width="20" customWidth="1"/>
    <col min="4" max="4" width="14" customWidth="1"/>
    <col min="5" max="5" width="12" customWidth="1"/>
  </cols>
  <sheetData>
    <row r="1" spans="1:1" ht="20.25" customHeight="1" x14ac:dyDescent="0.3">
      <c r="A1" s="16" t="s">
        <v>40</v>
      </c>
    </row>
    <row r="2" spans="1:1" ht="15" customHeight="1" x14ac:dyDescent="0.25">
      <c r="A2" s="17"/>
    </row>
    <row r="3" spans="1:1" ht="15" customHeight="1" x14ac:dyDescent="0.25">
      <c r="A3" s="17" t="s">
        <v>41</v>
      </c>
    </row>
    <row r="4" spans="1:1" ht="15" customHeight="1" x14ac:dyDescent="0.25">
      <c r="A4" s="17" t="s">
        <v>42</v>
      </c>
    </row>
    <row r="5" spans="1:1" ht="15" customHeight="1" x14ac:dyDescent="0.25">
      <c r="A5" s="17" t="s">
        <v>43</v>
      </c>
    </row>
    <row r="6" spans="1:1" ht="15" customHeight="1" x14ac:dyDescent="0.25">
      <c r="A6" s="17" t="s">
        <v>44</v>
      </c>
    </row>
    <row r="7" spans="1:1" ht="15" customHeight="1" x14ac:dyDescent="0.25">
      <c r="A7" s="17" t="s">
        <v>45</v>
      </c>
    </row>
    <row r="8" spans="1:1" ht="15" customHeight="1" x14ac:dyDescent="0.25">
      <c r="A8" s="17" t="s">
        <v>46</v>
      </c>
    </row>
    <row r="9" spans="1:1" ht="15" customHeight="1" x14ac:dyDescent="0.25">
      <c r="A9" s="17" t="s">
        <v>47</v>
      </c>
    </row>
    <row r="10" spans="1:1" ht="15" customHeight="1" x14ac:dyDescent="0.25">
      <c r="A10" s="17" t="s">
        <v>48</v>
      </c>
    </row>
    <row r="11" spans="1:1" ht="15" customHeight="1" x14ac:dyDescent="0.25">
      <c r="A11" s="17" t="s">
        <v>49</v>
      </c>
    </row>
    <row r="12" spans="1:1" ht="15" customHeight="1" x14ac:dyDescent="0.25">
      <c r="A12" s="17" t="s">
        <v>50</v>
      </c>
    </row>
    <row r="13" spans="1:1" ht="15" customHeight="1" x14ac:dyDescent="0.25">
      <c r="A13" s="17" t="s">
        <v>51</v>
      </c>
    </row>
    <row r="14" spans="1:1" ht="15" customHeight="1" x14ac:dyDescent="0.25">
      <c r="A14" s="17" t="s">
        <v>52</v>
      </c>
    </row>
    <row r="15" spans="1:1" ht="15" customHeight="1" x14ac:dyDescent="0.25">
      <c r="A15" s="17"/>
    </row>
    <row r="16" spans="1:1" ht="15" customHeight="1" x14ac:dyDescent="0.25">
      <c r="A16" s="17" t="s">
        <v>53</v>
      </c>
    </row>
    <row r="17" spans="1:5" ht="15" customHeight="1" x14ac:dyDescent="0.25">
      <c r="A17" s="18" t="s">
        <v>54</v>
      </c>
      <c r="B17" s="18" t="s">
        <v>55</v>
      </c>
      <c r="C17" s="18" t="s">
        <v>1</v>
      </c>
      <c r="D17" s="18" t="s">
        <v>2</v>
      </c>
      <c r="E17" s="18" t="s">
        <v>56</v>
      </c>
    </row>
    <row r="18" spans="1:5" ht="15" customHeight="1" x14ac:dyDescent="0.25">
      <c r="A18" s="19" t="s">
        <v>57</v>
      </c>
      <c r="B18" s="20" t="s">
        <v>58</v>
      </c>
      <c r="C18" s="20" t="s">
        <v>29</v>
      </c>
      <c r="D18" s="21" t="s">
        <v>59</v>
      </c>
      <c r="E18" s="22">
        <v>32.5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zoomScaleNormal="100" workbookViewId="0">
      <selection activeCell="A18" sqref="A18"/>
    </sheetView>
  </sheetViews>
  <sheetFormatPr baseColWidth="10" defaultColWidth="8.7109375" defaultRowHeight="15" x14ac:dyDescent="0.25"/>
  <cols>
    <col min="1" max="1" width="22" customWidth="1"/>
    <col min="2" max="2" width="14" customWidth="1"/>
  </cols>
  <sheetData>
    <row r="1" spans="1:2" ht="15" customHeight="1" x14ac:dyDescent="0.25">
      <c r="A1" s="18" t="s">
        <v>1</v>
      </c>
      <c r="B1" s="18" t="s">
        <v>2</v>
      </c>
    </row>
    <row r="2" spans="1:2" ht="15" customHeight="1" x14ac:dyDescent="0.25">
      <c r="A2" s="20" t="s">
        <v>17</v>
      </c>
      <c r="B2" s="20" t="s">
        <v>60</v>
      </c>
    </row>
    <row r="3" spans="1:2" ht="15" customHeight="1" x14ac:dyDescent="0.25">
      <c r="A3" s="20" t="s">
        <v>18</v>
      </c>
      <c r="B3" s="20" t="s">
        <v>60</v>
      </c>
    </row>
    <row r="4" spans="1:2" ht="15" customHeight="1" x14ac:dyDescent="0.25">
      <c r="A4" s="20" t="s">
        <v>19</v>
      </c>
      <c r="B4" s="20" t="s">
        <v>60</v>
      </c>
    </row>
    <row r="5" spans="1:2" ht="15" customHeight="1" x14ac:dyDescent="0.25">
      <c r="A5" s="20" t="s">
        <v>20</v>
      </c>
      <c r="B5" s="20" t="s">
        <v>60</v>
      </c>
    </row>
    <row r="6" spans="1:2" ht="15" customHeight="1" x14ac:dyDescent="0.25">
      <c r="A6" s="20" t="s">
        <v>21</v>
      </c>
      <c r="B6" s="20" t="s">
        <v>60</v>
      </c>
    </row>
    <row r="7" spans="1:2" ht="15" customHeight="1" x14ac:dyDescent="0.25">
      <c r="A7" s="20" t="s">
        <v>22</v>
      </c>
      <c r="B7" s="20" t="s">
        <v>60</v>
      </c>
    </row>
    <row r="8" spans="1:2" ht="15" customHeight="1" x14ac:dyDescent="0.25">
      <c r="A8" s="20" t="s">
        <v>23</v>
      </c>
      <c r="B8" s="20" t="s">
        <v>60</v>
      </c>
    </row>
    <row r="9" spans="1:2" ht="15" customHeight="1" x14ac:dyDescent="0.25">
      <c r="A9" s="20" t="s">
        <v>24</v>
      </c>
      <c r="B9" s="20" t="s">
        <v>60</v>
      </c>
    </row>
    <row r="10" spans="1:2" ht="15" customHeight="1" x14ac:dyDescent="0.25">
      <c r="A10" s="20" t="s">
        <v>25</v>
      </c>
      <c r="B10" s="20" t="s">
        <v>59</v>
      </c>
    </row>
    <row r="11" spans="1:2" ht="15" customHeight="1" x14ac:dyDescent="0.25">
      <c r="A11" s="20" t="s">
        <v>26</v>
      </c>
      <c r="B11" s="20" t="s">
        <v>59</v>
      </c>
    </row>
    <row r="12" spans="1:2" ht="15" customHeight="1" x14ac:dyDescent="0.25">
      <c r="A12" s="20" t="s">
        <v>27</v>
      </c>
      <c r="B12" s="20" t="s">
        <v>59</v>
      </c>
    </row>
    <row r="13" spans="1:2" ht="15" customHeight="1" x14ac:dyDescent="0.25">
      <c r="A13" s="20" t="s">
        <v>28</v>
      </c>
      <c r="B13" s="20" t="s">
        <v>59</v>
      </c>
    </row>
    <row r="14" spans="1:2" ht="15" customHeight="1" x14ac:dyDescent="0.25">
      <c r="A14" s="20" t="s">
        <v>29</v>
      </c>
      <c r="B14" s="20" t="s">
        <v>59</v>
      </c>
    </row>
    <row r="15" spans="1:2" ht="15" customHeight="1" x14ac:dyDescent="0.25">
      <c r="A15" s="20" t="s">
        <v>30</v>
      </c>
      <c r="B15" s="20" t="s">
        <v>61</v>
      </c>
    </row>
    <row r="16" spans="1:2" ht="15" customHeight="1" x14ac:dyDescent="0.25">
      <c r="A16" s="20" t="s">
        <v>31</v>
      </c>
      <c r="B16" s="20" t="s">
        <v>62</v>
      </c>
    </row>
    <row r="17" spans="1:2" x14ac:dyDescent="0.25">
      <c r="A17" s="20" t="s">
        <v>32</v>
      </c>
      <c r="B17" s="20" t="s">
        <v>62</v>
      </c>
    </row>
    <row r="18" spans="1:2" x14ac:dyDescent="0.25">
      <c r="A18" s="20" t="s">
        <v>33</v>
      </c>
      <c r="B18" s="20" t="s">
        <v>61</v>
      </c>
    </row>
  </sheetData>
  <dataValidations count="1">
    <dataValidation type="list" allowBlank="1" sqref="B2:B18" xr:uid="{00000000-0002-0000-0200-000000000000}">
      <formula1>"Ocio,Ordinario,Extraordinario Evitable,Extraordinario Inevitable"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30" customWidth="1"/>
    <col min="3" max="3" width="20" customWidth="1"/>
    <col min="4" max="4" width="14" customWidth="1"/>
    <col min="5" max="5" width="13" customWidth="1"/>
    <col min="7" max="7" width="20" customWidth="1"/>
    <col min="8" max="8" width="14" customWidth="1"/>
    <col min="9" max="9" width="10" hidden="1" customWidth="1"/>
  </cols>
  <sheetData>
    <row r="1" spans="1:9" ht="21.75" customHeight="1" x14ac:dyDescent="0.25">
      <c r="A1" s="2" t="s">
        <v>63</v>
      </c>
      <c r="B1" s="2"/>
      <c r="C1" s="2"/>
      <c r="D1" s="2"/>
      <c r="E1" s="2"/>
    </row>
    <row r="2" spans="1:9" ht="15" customHeight="1" x14ac:dyDescent="0.25">
      <c r="A2" s="4" t="s">
        <v>54</v>
      </c>
      <c r="B2" s="4" t="s">
        <v>55</v>
      </c>
      <c r="C2" s="4" t="s">
        <v>1</v>
      </c>
      <c r="D2" s="4" t="s">
        <v>2</v>
      </c>
      <c r="E2" s="4" t="s">
        <v>56</v>
      </c>
      <c r="G2" s="1" t="s">
        <v>64</v>
      </c>
      <c r="H2" s="1"/>
    </row>
    <row r="3" spans="1:9" ht="15" customHeight="1" x14ac:dyDescent="0.25">
      <c r="A3" s="19"/>
      <c r="B3" s="20"/>
      <c r="C3" s="20"/>
      <c r="D3" s="21" t="str">
        <f>IFERROR(INDEX(Categorías!$B$2:$B$18,MATCH(C3,Categorías!$A$2:$A$18,0)),"")</f>
        <v/>
      </c>
      <c r="E3" s="22"/>
      <c r="G3" s="5" t="str">
        <f>Categorías!A2</f>
        <v>Videojuegos</v>
      </c>
      <c r="H3" s="23">
        <f t="shared" ref="H3:H19" si="0">SUMIF($C$3:$C$32,G3,$E$3:$E$32)</f>
        <v>0</v>
      </c>
      <c r="I3" s="24" t="str">
        <f>Categorías!B2</f>
        <v>Ocio</v>
      </c>
    </row>
    <row r="4" spans="1:9" ht="15" customHeight="1" x14ac:dyDescent="0.25">
      <c r="A4" s="19"/>
      <c r="B4" s="20"/>
      <c r="C4" s="20"/>
      <c r="D4" s="21" t="str">
        <f>IFERROR(INDEX(Categorías!$B$2:$B$18,MATCH(C4,Categorías!$A$2:$A$18,0)),"")</f>
        <v/>
      </c>
      <c r="E4" s="22"/>
      <c r="G4" s="5" t="str">
        <f>Categorías!A3</f>
        <v>Apuestas</v>
      </c>
      <c r="H4" s="23">
        <f t="shared" si="0"/>
        <v>0</v>
      </c>
      <c r="I4" s="24" t="str">
        <f>Categorías!B3</f>
        <v>Ocio</v>
      </c>
    </row>
    <row r="5" spans="1:9" ht="15" customHeight="1" x14ac:dyDescent="0.25">
      <c r="A5" s="19"/>
      <c r="B5" s="20"/>
      <c r="C5" s="20"/>
      <c r="D5" s="21" t="str">
        <f>IFERROR(INDEX(Categorías!$B$2:$B$18,MATCH(C5,Categorías!$A$2:$A$18,0)),"")</f>
        <v/>
      </c>
      <c r="E5" s="22"/>
      <c r="G5" s="5" t="str">
        <f>Categorías!A4</f>
        <v>Salidas/Ocio</v>
      </c>
      <c r="H5" s="23">
        <f t="shared" si="0"/>
        <v>0</v>
      </c>
      <c r="I5" s="24" t="str">
        <f>Categorías!B4</f>
        <v>Ocio</v>
      </c>
    </row>
    <row r="6" spans="1:9" ht="15" customHeight="1" x14ac:dyDescent="0.25">
      <c r="A6" s="19"/>
      <c r="B6" s="20"/>
      <c r="C6" s="20"/>
      <c r="D6" s="21" t="str">
        <f>IFERROR(INDEX(Categorías!$B$2:$B$18,MATCH(C6,Categorías!$A$2:$A$18,0)),"")</f>
        <v/>
      </c>
      <c r="E6" s="22"/>
      <c r="G6" s="5" t="str">
        <f>Categorías!A5</f>
        <v>Suscripciones ocio</v>
      </c>
      <c r="H6" s="23">
        <f t="shared" si="0"/>
        <v>0</v>
      </c>
      <c r="I6" s="24" t="str">
        <f>Categorías!B5</f>
        <v>Ocio</v>
      </c>
    </row>
    <row r="7" spans="1:9" ht="15" customHeight="1" x14ac:dyDescent="0.25">
      <c r="A7" s="19"/>
      <c r="B7" s="20"/>
      <c r="C7" s="20"/>
      <c r="D7" s="21" t="str">
        <f>IFERROR(INDEX(Categorías!$B$2:$B$18,MATCH(C7,Categorías!$A$2:$A$18,0)),"")</f>
        <v/>
      </c>
      <c r="E7" s="22"/>
      <c r="G7" s="5" t="str">
        <f>Categorías!A6</f>
        <v>Viajes</v>
      </c>
      <c r="H7" s="23">
        <f t="shared" si="0"/>
        <v>0</v>
      </c>
      <c r="I7" s="24" t="str">
        <f>Categorías!B6</f>
        <v>Ocio</v>
      </c>
    </row>
    <row r="8" spans="1:9" ht="15" customHeight="1" x14ac:dyDescent="0.25">
      <c r="A8" s="19"/>
      <c r="B8" s="20"/>
      <c r="C8" s="20"/>
      <c r="D8" s="21" t="str">
        <f>IFERROR(INDEX(Categorías!$B$2:$B$18,MATCH(C8,Categorías!$A$2:$A$18,0)),"")</f>
        <v/>
      </c>
      <c r="E8" s="22"/>
      <c r="G8" s="5" t="str">
        <f>Categorías!A7</f>
        <v>Padel</v>
      </c>
      <c r="H8" s="23">
        <f t="shared" si="0"/>
        <v>0</v>
      </c>
      <c r="I8" s="24" t="str">
        <f>Categorías!B7</f>
        <v>Ocio</v>
      </c>
    </row>
    <row r="9" spans="1:9" ht="15" customHeight="1" x14ac:dyDescent="0.25">
      <c r="A9" s="19"/>
      <c r="B9" s="20"/>
      <c r="C9" s="20"/>
      <c r="D9" s="21" t="str">
        <f>IFERROR(INDEX(Categorías!$B$2:$B$18,MATCH(C9,Categorías!$A$2:$A$18,0)),"")</f>
        <v/>
      </c>
      <c r="E9" s="22"/>
      <c r="G9" s="5" t="str">
        <f>Categorías!A8</f>
        <v>Alimentación</v>
      </c>
      <c r="H9" s="23">
        <f t="shared" si="0"/>
        <v>0</v>
      </c>
      <c r="I9" s="24" t="str">
        <f>Categorías!B8</f>
        <v>Ocio</v>
      </c>
    </row>
    <row r="10" spans="1:9" ht="15" customHeight="1" x14ac:dyDescent="0.25">
      <c r="A10" s="19"/>
      <c r="B10" s="20"/>
      <c r="C10" s="20"/>
      <c r="D10" s="21" t="str">
        <f>IFERROR(INDEX(Categorías!$B$2:$B$18,MATCH(C10,Categorías!$A$2:$A$18,0)),"")</f>
        <v/>
      </c>
      <c r="E10" s="22"/>
      <c r="G10" s="5" t="str">
        <f>Categorías!A9</f>
        <v>Barça</v>
      </c>
      <c r="H10" s="23">
        <f t="shared" si="0"/>
        <v>0</v>
      </c>
      <c r="I10" s="24" t="str">
        <f>Categorías!B9</f>
        <v>Ocio</v>
      </c>
    </row>
    <row r="11" spans="1:9" ht="15" customHeight="1" x14ac:dyDescent="0.25">
      <c r="A11" s="19"/>
      <c r="B11" s="20"/>
      <c r="C11" s="20"/>
      <c r="D11" s="21" t="str">
        <f>IFERROR(INDEX(Categorías!$B$2:$B$18,MATCH(C11,Categorías!$A$2:$A$18,0)),"")</f>
        <v/>
      </c>
      <c r="E11" s="22"/>
      <c r="G11" s="5" t="str">
        <f>Categorías!A10</f>
        <v>Vivienda/Alquiler</v>
      </c>
      <c r="H11" s="23">
        <f t="shared" si="0"/>
        <v>0</v>
      </c>
      <c r="I11" s="24" t="str">
        <f>Categorías!B10</f>
        <v>Ordinario</v>
      </c>
    </row>
    <row r="12" spans="1:9" ht="15" customHeight="1" x14ac:dyDescent="0.25">
      <c r="A12" s="19"/>
      <c r="B12" s="20"/>
      <c r="C12" s="20"/>
      <c r="D12" s="21" t="str">
        <f>IFERROR(INDEX(Categorías!$B$2:$B$18,MATCH(C12,Categorías!$A$2:$A$18,0)),"")</f>
        <v/>
      </c>
      <c r="E12" s="22"/>
      <c r="G12" s="5" t="str">
        <f>Categorías!A11</f>
        <v>Transporte</v>
      </c>
      <c r="H12" s="23">
        <f t="shared" si="0"/>
        <v>0</v>
      </c>
      <c r="I12" s="24" t="str">
        <f>Categorías!B11</f>
        <v>Ordinario</v>
      </c>
    </row>
    <row r="13" spans="1:9" ht="15" customHeight="1" x14ac:dyDescent="0.25">
      <c r="A13" s="19"/>
      <c r="B13" s="20"/>
      <c r="C13" s="20"/>
      <c r="D13" s="21" t="str">
        <f>IFERROR(INDEX(Categorías!$B$2:$B$18,MATCH(C13,Categorías!$A$2:$A$18,0)),"")</f>
        <v/>
      </c>
      <c r="E13" s="22"/>
      <c r="G13" s="5" t="str">
        <f>Categorías!A12</f>
        <v>Salud</v>
      </c>
      <c r="H13" s="23">
        <f t="shared" si="0"/>
        <v>0</v>
      </c>
      <c r="I13" s="24" t="str">
        <f>Categorías!B12</f>
        <v>Ordinario</v>
      </c>
    </row>
    <row r="14" spans="1:9" ht="15" customHeight="1" x14ac:dyDescent="0.25">
      <c r="A14" s="19"/>
      <c r="B14" s="20"/>
      <c r="C14" s="20"/>
      <c r="D14" s="21" t="str">
        <f>IFERROR(INDEX(Categorías!$B$2:$B$18,MATCH(C14,Categorías!$A$2:$A$18,0)),"")</f>
        <v/>
      </c>
      <c r="E14" s="22"/>
      <c r="G14" s="5" t="str">
        <f>Categorías!A13</f>
        <v>Barbero</v>
      </c>
      <c r="H14" s="23">
        <f t="shared" si="0"/>
        <v>0</v>
      </c>
      <c r="I14" s="24" t="str">
        <f>Categorías!B13</f>
        <v>Ordinario</v>
      </c>
    </row>
    <row r="15" spans="1:9" ht="15" customHeight="1" x14ac:dyDescent="0.25">
      <c r="A15" s="19"/>
      <c r="B15" s="20"/>
      <c r="C15" s="20"/>
      <c r="D15" s="21" t="str">
        <f>IFERROR(INDEX(Categorías!$B$2:$B$18,MATCH(C15,Categorías!$A$2:$A$18,0)),"")</f>
        <v/>
      </c>
      <c r="E15" s="22"/>
      <c r="G15" s="5" t="str">
        <f>Categorías!A14</f>
        <v>Otros</v>
      </c>
      <c r="H15" s="23">
        <f t="shared" si="0"/>
        <v>0</v>
      </c>
      <c r="I15" s="24" t="str">
        <f>Categorías!B14</f>
        <v>Ordinario</v>
      </c>
    </row>
    <row r="16" spans="1:9" ht="15" customHeight="1" x14ac:dyDescent="0.25">
      <c r="A16" s="19"/>
      <c r="B16" s="20"/>
      <c r="C16" s="20"/>
      <c r="D16" s="21" t="str">
        <f>IFERROR(INDEX(Categorías!$B$2:$B$18,MATCH(C16,Categorías!$A$2:$A$18,0)),"")</f>
        <v/>
      </c>
      <c r="E16" s="22"/>
      <c r="G16" s="5" t="str">
        <f>Categorías!A15</f>
        <v>Burocracia</v>
      </c>
      <c r="H16" s="23">
        <f t="shared" si="0"/>
        <v>0</v>
      </c>
      <c r="I16" s="24" t="str">
        <f>Categorías!B15</f>
        <v>Extraordinario Inevitable</v>
      </c>
    </row>
    <row r="17" spans="1:9" ht="15" customHeight="1" x14ac:dyDescent="0.25">
      <c r="A17" s="19"/>
      <c r="B17" s="20"/>
      <c r="C17" s="20"/>
      <c r="D17" s="21" t="str">
        <f>IFERROR(INDEX(Categorías!$B$2:$B$18,MATCH(C17,Categorías!$A$2:$A$18,0)),"")</f>
        <v/>
      </c>
      <c r="E17" s="22"/>
      <c r="G17" s="25" t="str">
        <f>Categorías!A16</f>
        <v>Regalos</v>
      </c>
      <c r="H17" s="26">
        <f t="shared" si="0"/>
        <v>0</v>
      </c>
      <c r="I17" s="24" t="str">
        <f>Categorías!B16</f>
        <v>Extraordinario Evitable</v>
      </c>
    </row>
    <row r="18" spans="1:9" ht="15" customHeight="1" x14ac:dyDescent="0.25">
      <c r="A18" s="19"/>
      <c r="B18" s="20"/>
      <c r="C18" s="20"/>
      <c r="D18" s="21" t="str">
        <f>IFERROR(INDEX(Categorías!$B$2:$B$18,MATCH(C18,Categorías!$A$2:$A$18,0)),"")</f>
        <v/>
      </c>
      <c r="E18" s="22"/>
      <c r="G18" t="str">
        <f>Categorías!A17</f>
        <v>Multas</v>
      </c>
      <c r="H18" s="15">
        <f t="shared" si="0"/>
        <v>0</v>
      </c>
      <c r="I18" t="str">
        <f>Categorías!B17</f>
        <v>Extraordinario Evitable</v>
      </c>
    </row>
    <row r="19" spans="1:9" ht="15" customHeight="1" x14ac:dyDescent="0.25">
      <c r="A19" s="19"/>
      <c r="B19" s="20"/>
      <c r="C19" s="20"/>
      <c r="D19" s="21" t="str">
        <f>IFERROR(INDEX(Categorías!$B$2:$B$18,MATCH(C19,Categorías!$A$2:$A$18,0)),"")</f>
        <v/>
      </c>
      <c r="E19" s="22"/>
      <c r="G19" t="str">
        <f>Categorías!A18</f>
        <v>Otros extraordinarios</v>
      </c>
      <c r="H19" s="15">
        <f t="shared" si="0"/>
        <v>0</v>
      </c>
      <c r="I19" t="str">
        <f>Categorías!B18</f>
        <v>Extraordinario Inevitable</v>
      </c>
    </row>
    <row r="20" spans="1:9" ht="15" customHeight="1" x14ac:dyDescent="0.25">
      <c r="A20" s="19"/>
      <c r="B20" s="20"/>
      <c r="C20" s="20"/>
      <c r="D20" s="21" t="str">
        <f>IFERROR(INDEX(Categorías!$B$2:$B$18,MATCH(C20,Categorías!$A$2:$A$18,0)),"")</f>
        <v/>
      </c>
      <c r="E20" s="22"/>
      <c r="G20" s="11"/>
      <c r="H20" s="27"/>
    </row>
    <row r="21" spans="1:9" ht="15" customHeight="1" x14ac:dyDescent="0.25">
      <c r="A21" s="19"/>
      <c r="B21" s="20"/>
      <c r="C21" s="20"/>
      <c r="D21" s="21" t="str">
        <f>IFERROR(INDEX(Categorías!$B$2:$B$18,MATCH(C21,Categorías!$A$2:$A$18,0)),"")</f>
        <v/>
      </c>
      <c r="E21" s="22"/>
      <c r="G21" s="11" t="s">
        <v>35</v>
      </c>
      <c r="H21" s="27">
        <f>SUMIF($I$3:$I$19,"Ocio",$H$3:$H$19)</f>
        <v>0</v>
      </c>
    </row>
    <row r="22" spans="1:9" ht="15" customHeight="1" x14ac:dyDescent="0.25">
      <c r="A22" s="19"/>
      <c r="B22" s="20"/>
      <c r="C22" s="20"/>
      <c r="D22" s="21" t="str">
        <f>IFERROR(INDEX(Categorías!$B$2:$B$18,MATCH(C22,Categorías!$A$2:$A$18,0)),"")</f>
        <v/>
      </c>
      <c r="E22" s="22"/>
      <c r="G22" s="11" t="s">
        <v>36</v>
      </c>
      <c r="H22" s="27">
        <f>SUMIF($I$3:$I$19,"Ordinario",$H$3:$H$19)</f>
        <v>0</v>
      </c>
    </row>
    <row r="23" spans="1:9" ht="15" customHeight="1" x14ac:dyDescent="0.25">
      <c r="A23" s="19"/>
      <c r="B23" s="20"/>
      <c r="C23" s="20"/>
      <c r="D23" s="21" t="str">
        <f>IFERROR(INDEX(Categorías!$B$2:$B$18,MATCH(C23,Categorías!$A$2:$A$18,0)),"")</f>
        <v/>
      </c>
      <c r="E23" s="22"/>
      <c r="G23" s="11" t="s">
        <v>37</v>
      </c>
      <c r="H23" s="27">
        <f>SUMIF($I$3:$I$19,"Extraordinario*",$H$3:$H$19)</f>
        <v>0</v>
      </c>
    </row>
    <row r="24" spans="1:9" ht="15" customHeight="1" x14ac:dyDescent="0.25">
      <c r="A24" s="19"/>
      <c r="B24" s="20"/>
      <c r="C24" s="20"/>
      <c r="D24" s="21" t="str">
        <f>IFERROR(INDEX(Categorías!$B$2:$B$18,MATCH(C24,Categorías!$A$2:$A$18,0)),"")</f>
        <v/>
      </c>
      <c r="E24" s="22"/>
      <c r="G24" s="11" t="s">
        <v>38</v>
      </c>
      <c r="H24" s="27">
        <f>SUMIF($I$3:$I$19,"Extraordinario Evitable",$H$3:$H$19)</f>
        <v>0</v>
      </c>
    </row>
    <row r="25" spans="1:9" ht="15" customHeight="1" x14ac:dyDescent="0.25">
      <c r="A25" s="19"/>
      <c r="B25" s="20"/>
      <c r="C25" s="20"/>
      <c r="D25" s="21" t="str">
        <f>IFERROR(INDEX(Categorías!$B$2:$B$18,MATCH(C25,Categorías!$A$2:$A$18,0)),"")</f>
        <v/>
      </c>
      <c r="E25" s="22"/>
      <c r="G25" s="11" t="s">
        <v>39</v>
      </c>
      <c r="H25" s="27">
        <f>SUMIF($I$3:$I$19,"Extraordinario Inevitable",$H$3:$H$19)</f>
        <v>0</v>
      </c>
    </row>
    <row r="26" spans="1:9" ht="15" customHeight="1" x14ac:dyDescent="0.25">
      <c r="A26" s="19"/>
      <c r="B26" s="20"/>
      <c r="C26" s="20"/>
      <c r="D26" s="21" t="str">
        <f>IFERROR(INDEX(Categorías!$B$2:$B$18,MATCH(C26,Categorías!$A$2:$A$18,0)),"")</f>
        <v/>
      </c>
      <c r="E26" s="22"/>
      <c r="G26" s="11" t="s">
        <v>65</v>
      </c>
      <c r="H26" s="27">
        <f>SUM($E$3:$E$32)</f>
        <v>0</v>
      </c>
    </row>
    <row r="27" spans="1:9" ht="15" customHeight="1" x14ac:dyDescent="0.25">
      <c r="A27" s="19"/>
      <c r="B27" s="20"/>
      <c r="C27" s="20"/>
      <c r="D27" s="21" t="str">
        <f>IFERROR(INDEX(Categorías!$B$2:$B$18,MATCH(C27,Categorías!$A$2:$A$18,0)),"")</f>
        <v/>
      </c>
      <c r="E27" s="22"/>
    </row>
    <row r="28" spans="1:9" ht="15" customHeight="1" x14ac:dyDescent="0.25">
      <c r="A28" s="19"/>
      <c r="B28" s="20"/>
      <c r="C28" s="20"/>
      <c r="D28" s="21" t="str">
        <f>IFERROR(INDEX(Categorías!$B$2:$B$18,MATCH(C28,Categorías!$A$2:$A$18,0)),"")</f>
        <v/>
      </c>
      <c r="E28" s="22"/>
    </row>
    <row r="29" spans="1:9" ht="15" customHeight="1" x14ac:dyDescent="0.25">
      <c r="A29" s="19"/>
      <c r="B29" s="20"/>
      <c r="C29" s="20"/>
      <c r="D29" s="21" t="str">
        <f>IFERROR(INDEX(Categorías!$B$2:$B$18,MATCH(C29,Categorías!$A$2:$A$18,0)),"")</f>
        <v/>
      </c>
      <c r="E29" s="22"/>
    </row>
    <row r="30" spans="1:9" ht="15" customHeight="1" x14ac:dyDescent="0.25">
      <c r="A30" s="19"/>
      <c r="B30" s="20"/>
      <c r="C30" s="20"/>
      <c r="D30" s="21" t="str">
        <f>IFERROR(INDEX(Categorías!$B$2:$B$18,MATCH(C30,Categorías!$A$2:$A$18,0)),"")</f>
        <v/>
      </c>
      <c r="E30" s="22"/>
    </row>
    <row r="31" spans="1:9" ht="15" customHeight="1" x14ac:dyDescent="0.25">
      <c r="A31" s="19"/>
      <c r="B31" s="20"/>
      <c r="C31" s="20"/>
      <c r="D31" s="21" t="str">
        <f>IFERROR(INDEX(Categorías!$B$2:$B$18,MATCH(C31,Categorías!$A$2:$A$18,0)),"")</f>
        <v/>
      </c>
      <c r="E31" s="22"/>
    </row>
    <row r="32" spans="1:9" ht="15" customHeight="1" x14ac:dyDescent="0.25">
      <c r="A32" s="19"/>
      <c r="B32" s="20"/>
      <c r="C32" s="20"/>
      <c r="D32" s="21" t="str">
        <f>IFERROR(INDEX(Categorías!$B$2:$B$18,MATCH(C32,Categorías!$A$2:$A$18,0)),"")</f>
        <v/>
      </c>
      <c r="E32" s="22"/>
    </row>
  </sheetData>
  <mergeCells count="2">
    <mergeCell ref="A1:E1"/>
    <mergeCell ref="G2:H2"/>
  </mergeCells>
  <conditionalFormatting sqref="E3:E32">
    <cfRule type="dataBar" priority="2">
      <dataBar>
        <cfvo type="min"/>
        <cfvo type="max"/>
        <color rgb="FFFC605C"/>
      </dataBar>
      <extLst>
        <ext xmlns:x14="http://schemas.microsoft.com/office/spreadsheetml/2009/9/main" uri="{B025F937-C7B1-47D3-B67F-A62EFF666E3E}">
          <x14:id>{94BD37DD-DD6E-47AC-954F-E07725B4D1EA}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BD37DD-DD6E-47AC-954F-E07725B4D1EA}">
            <x14:dataBar axisPosition="none">
              <x14:cfvo type="min"/>
              <x14:cfvo type="max"/>
              <x14:negativeFillColor rgb="FFFC605C"/>
            </x14:dataBar>
          </x14:cfRule>
          <xm:sqref>E3:E32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"/>
  <sheetViews>
    <sheetView showGridLines="0" zoomScaleNormal="100" workbookViewId="0">
      <selection activeCell="C3" sqref="C3"/>
    </sheetView>
  </sheetViews>
  <sheetFormatPr baseColWidth="10" defaultColWidth="8.7109375" defaultRowHeight="15" x14ac:dyDescent="0.25"/>
  <cols>
    <col min="1" max="1" width="13" customWidth="1"/>
    <col min="2" max="2" width="30" customWidth="1"/>
    <col min="3" max="3" width="20" customWidth="1"/>
    <col min="4" max="4" width="14" customWidth="1"/>
    <col min="5" max="5" width="13" customWidth="1"/>
    <col min="7" max="7" width="20" customWidth="1"/>
    <col min="8" max="8" width="14" customWidth="1"/>
    <col min="9" max="9" width="10" hidden="1" customWidth="1"/>
  </cols>
  <sheetData>
    <row r="1" spans="1:9" ht="21.75" customHeight="1" x14ac:dyDescent="0.25">
      <c r="A1" s="2" t="s">
        <v>66</v>
      </c>
      <c r="B1" s="2"/>
      <c r="C1" s="2"/>
      <c r="D1" s="2"/>
      <c r="E1" s="2"/>
    </row>
    <row r="2" spans="1:9" ht="15" customHeight="1" x14ac:dyDescent="0.25">
      <c r="A2" s="4" t="s">
        <v>54</v>
      </c>
      <c r="B2" s="4" t="s">
        <v>55</v>
      </c>
      <c r="C2" s="4" t="s">
        <v>1</v>
      </c>
      <c r="D2" s="4" t="s">
        <v>2</v>
      </c>
      <c r="E2" s="4" t="s">
        <v>56</v>
      </c>
      <c r="G2" s="1" t="s">
        <v>64</v>
      </c>
      <c r="H2" s="1"/>
    </row>
    <row r="3" spans="1:9" ht="15" customHeight="1" x14ac:dyDescent="0.25">
      <c r="A3" s="19"/>
      <c r="B3" s="20"/>
      <c r="C3" s="20"/>
      <c r="D3" s="21" t="str">
        <f>IFERROR(INDEX(Categorías!$B$2:$B$18,MATCH(C3,Categorías!$A$2:$A$18,0)),"")</f>
        <v/>
      </c>
      <c r="E3" s="22"/>
      <c r="G3" s="5" t="str">
        <f>Categorías!A2</f>
        <v>Videojuegos</v>
      </c>
      <c r="H3" s="23">
        <f t="shared" ref="H3:H19" si="0">SUMIF($C$3:$C$32,G3,$E$3:$E$32)</f>
        <v>0</v>
      </c>
      <c r="I3" s="24" t="str">
        <f>Categorías!B2</f>
        <v>Ocio</v>
      </c>
    </row>
    <row r="4" spans="1:9" ht="15" customHeight="1" x14ac:dyDescent="0.25">
      <c r="A4" s="19"/>
      <c r="B4" s="20"/>
      <c r="C4" s="20"/>
      <c r="D4" s="21" t="str">
        <f>IFERROR(INDEX(Categorías!$B$2:$B$18,MATCH(C4,Categorías!$A$2:$A$18,0)),"")</f>
        <v/>
      </c>
      <c r="E4" s="22"/>
      <c r="G4" s="5" t="str">
        <f>Categorías!A3</f>
        <v>Apuestas</v>
      </c>
      <c r="H4" s="23">
        <f t="shared" si="0"/>
        <v>0</v>
      </c>
      <c r="I4" s="24" t="str">
        <f>Categorías!B3</f>
        <v>Ocio</v>
      </c>
    </row>
    <row r="5" spans="1:9" ht="15" customHeight="1" x14ac:dyDescent="0.25">
      <c r="A5" s="19"/>
      <c r="B5" s="20"/>
      <c r="C5" s="20"/>
      <c r="D5" s="21" t="str">
        <f>IFERROR(INDEX(Categorías!$B$2:$B$18,MATCH(C5,Categorías!$A$2:$A$18,0)),"")</f>
        <v/>
      </c>
      <c r="E5" s="22"/>
      <c r="G5" s="5" t="str">
        <f>Categorías!A4</f>
        <v>Salidas/Ocio</v>
      </c>
      <c r="H5" s="23">
        <f t="shared" si="0"/>
        <v>0</v>
      </c>
      <c r="I5" s="24" t="str">
        <f>Categorías!B4</f>
        <v>Ocio</v>
      </c>
    </row>
    <row r="6" spans="1:9" ht="15" customHeight="1" x14ac:dyDescent="0.25">
      <c r="A6" s="19"/>
      <c r="B6" s="20"/>
      <c r="C6" s="20"/>
      <c r="D6" s="21" t="str">
        <f>IFERROR(INDEX(Categorías!$B$2:$B$18,MATCH(C6,Categorías!$A$2:$A$18,0)),"")</f>
        <v/>
      </c>
      <c r="E6" s="22"/>
      <c r="G6" s="5" t="str">
        <f>Categorías!A5</f>
        <v>Suscripciones ocio</v>
      </c>
      <c r="H6" s="23">
        <f t="shared" si="0"/>
        <v>0</v>
      </c>
      <c r="I6" s="24" t="str">
        <f>Categorías!B5</f>
        <v>Ocio</v>
      </c>
    </row>
    <row r="7" spans="1:9" ht="15" customHeight="1" x14ac:dyDescent="0.25">
      <c r="A7" s="19"/>
      <c r="B7" s="20"/>
      <c r="C7" s="20"/>
      <c r="D7" s="21" t="str">
        <f>IFERROR(INDEX(Categorías!$B$2:$B$18,MATCH(C7,Categorías!$A$2:$A$18,0)),"")</f>
        <v/>
      </c>
      <c r="E7" s="22"/>
      <c r="G7" s="5" t="str">
        <f>Categorías!A6</f>
        <v>Viajes</v>
      </c>
      <c r="H7" s="23">
        <f t="shared" si="0"/>
        <v>0</v>
      </c>
      <c r="I7" s="24" t="str">
        <f>Categorías!B6</f>
        <v>Ocio</v>
      </c>
    </row>
    <row r="8" spans="1:9" ht="15" customHeight="1" x14ac:dyDescent="0.25">
      <c r="A8" s="19"/>
      <c r="B8" s="20"/>
      <c r="C8" s="20"/>
      <c r="D8" s="21" t="str">
        <f>IFERROR(INDEX(Categorías!$B$2:$B$18,MATCH(C8,Categorías!$A$2:$A$18,0)),"")</f>
        <v/>
      </c>
      <c r="E8" s="22"/>
      <c r="G8" s="5" t="str">
        <f>Categorías!A7</f>
        <v>Padel</v>
      </c>
      <c r="H8" s="23">
        <f t="shared" si="0"/>
        <v>0</v>
      </c>
      <c r="I8" s="24" t="str">
        <f>Categorías!B7</f>
        <v>Ocio</v>
      </c>
    </row>
    <row r="9" spans="1:9" ht="15" customHeight="1" x14ac:dyDescent="0.25">
      <c r="A9" s="19"/>
      <c r="B9" s="20"/>
      <c r="C9" s="20"/>
      <c r="D9" s="21" t="str">
        <f>IFERROR(INDEX(Categorías!$B$2:$B$18,MATCH(C9,Categorías!$A$2:$A$18,0)),"")</f>
        <v/>
      </c>
      <c r="E9" s="22"/>
      <c r="G9" s="5" t="str">
        <f>Categorías!A8</f>
        <v>Alimentación</v>
      </c>
      <c r="H9" s="23">
        <f t="shared" si="0"/>
        <v>0</v>
      </c>
      <c r="I9" s="24" t="str">
        <f>Categorías!B8</f>
        <v>Ocio</v>
      </c>
    </row>
    <row r="10" spans="1:9" ht="15" customHeight="1" x14ac:dyDescent="0.25">
      <c r="A10" s="19"/>
      <c r="B10" s="20"/>
      <c r="C10" s="20"/>
      <c r="D10" s="21" t="str">
        <f>IFERROR(INDEX(Categorías!$B$2:$B$18,MATCH(C10,Categorías!$A$2:$A$18,0)),"")</f>
        <v/>
      </c>
      <c r="E10" s="22"/>
      <c r="G10" s="5" t="str">
        <f>Categorías!A9</f>
        <v>Barça</v>
      </c>
      <c r="H10" s="23">
        <f t="shared" si="0"/>
        <v>0</v>
      </c>
      <c r="I10" s="24" t="str">
        <f>Categorías!B9</f>
        <v>Ocio</v>
      </c>
    </row>
    <row r="11" spans="1:9" ht="15" customHeight="1" x14ac:dyDescent="0.25">
      <c r="A11" s="19"/>
      <c r="B11" s="20"/>
      <c r="C11" s="20"/>
      <c r="D11" s="21" t="str">
        <f>IFERROR(INDEX(Categorías!$B$2:$B$18,MATCH(C11,Categorías!$A$2:$A$18,0)),"")</f>
        <v/>
      </c>
      <c r="E11" s="22"/>
      <c r="G11" s="5" t="str">
        <f>Categorías!A10</f>
        <v>Vivienda/Alquiler</v>
      </c>
      <c r="H11" s="23">
        <f t="shared" si="0"/>
        <v>0</v>
      </c>
      <c r="I11" s="24" t="str">
        <f>Categorías!B10</f>
        <v>Ordinario</v>
      </c>
    </row>
    <row r="12" spans="1:9" ht="15" customHeight="1" x14ac:dyDescent="0.25">
      <c r="A12" s="19"/>
      <c r="B12" s="20"/>
      <c r="C12" s="20"/>
      <c r="D12" s="21" t="str">
        <f>IFERROR(INDEX(Categorías!$B$2:$B$18,MATCH(C12,Categorías!$A$2:$A$18,0)),"")</f>
        <v/>
      </c>
      <c r="E12" s="22"/>
      <c r="G12" s="5" t="str">
        <f>Categorías!A11</f>
        <v>Transporte</v>
      </c>
      <c r="H12" s="23">
        <f t="shared" si="0"/>
        <v>0</v>
      </c>
      <c r="I12" s="24" t="str">
        <f>Categorías!B11</f>
        <v>Ordinario</v>
      </c>
    </row>
    <row r="13" spans="1:9" ht="15" customHeight="1" x14ac:dyDescent="0.25">
      <c r="A13" s="19"/>
      <c r="B13" s="20"/>
      <c r="C13" s="20"/>
      <c r="D13" s="21" t="str">
        <f>IFERROR(INDEX(Categorías!$B$2:$B$18,MATCH(C13,Categorías!$A$2:$A$18,0)),"")</f>
        <v/>
      </c>
      <c r="E13" s="22"/>
      <c r="G13" s="5" t="str">
        <f>Categorías!A12</f>
        <v>Salud</v>
      </c>
      <c r="H13" s="23">
        <f t="shared" si="0"/>
        <v>0</v>
      </c>
      <c r="I13" s="24" t="str">
        <f>Categorías!B12</f>
        <v>Ordinario</v>
      </c>
    </row>
    <row r="14" spans="1:9" ht="15" customHeight="1" x14ac:dyDescent="0.25">
      <c r="A14" s="19"/>
      <c r="B14" s="20"/>
      <c r="C14" s="20"/>
      <c r="D14" s="21" t="str">
        <f>IFERROR(INDEX(Categorías!$B$2:$B$18,MATCH(C14,Categorías!$A$2:$A$18,0)),"")</f>
        <v/>
      </c>
      <c r="E14" s="22"/>
      <c r="G14" s="5" t="str">
        <f>Categorías!A13</f>
        <v>Barbero</v>
      </c>
      <c r="H14" s="23">
        <f t="shared" si="0"/>
        <v>0</v>
      </c>
      <c r="I14" s="24" t="str">
        <f>Categorías!B13</f>
        <v>Ordinario</v>
      </c>
    </row>
    <row r="15" spans="1:9" ht="15" customHeight="1" x14ac:dyDescent="0.25">
      <c r="A15" s="19"/>
      <c r="B15" s="20"/>
      <c r="C15" s="20"/>
      <c r="D15" s="21" t="str">
        <f>IFERROR(INDEX(Categorías!$B$2:$B$18,MATCH(C15,Categorías!$A$2:$A$18,0)),"")</f>
        <v/>
      </c>
      <c r="E15" s="22"/>
      <c r="G15" s="5" t="str">
        <f>Categorías!A14</f>
        <v>Otros</v>
      </c>
      <c r="H15" s="23">
        <f t="shared" si="0"/>
        <v>0</v>
      </c>
      <c r="I15" s="24" t="str">
        <f>Categorías!B14</f>
        <v>Ordinario</v>
      </c>
    </row>
    <row r="16" spans="1:9" ht="15" customHeight="1" x14ac:dyDescent="0.25">
      <c r="A16" s="19"/>
      <c r="B16" s="20"/>
      <c r="C16" s="20"/>
      <c r="D16" s="21" t="str">
        <f>IFERROR(INDEX(Categorías!$B$2:$B$18,MATCH(C16,Categorías!$A$2:$A$18,0)),"")</f>
        <v/>
      </c>
      <c r="E16" s="22"/>
      <c r="G16" s="5" t="str">
        <f>Categorías!A15</f>
        <v>Burocracia</v>
      </c>
      <c r="H16" s="23">
        <f t="shared" si="0"/>
        <v>0</v>
      </c>
      <c r="I16" s="24" t="str">
        <f>Categorías!B15</f>
        <v>Extraordinario Inevitable</v>
      </c>
    </row>
    <row r="17" spans="1:9" ht="15" customHeight="1" x14ac:dyDescent="0.25">
      <c r="A17" s="19"/>
      <c r="B17" s="20"/>
      <c r="C17" s="20"/>
      <c r="D17" s="21" t="str">
        <f>IFERROR(INDEX(Categorías!$B$2:$B$18,MATCH(C17,Categorías!$A$2:$A$18,0)),"")</f>
        <v/>
      </c>
      <c r="E17" s="22"/>
      <c r="G17" s="25" t="str">
        <f>Categorías!A16</f>
        <v>Regalos</v>
      </c>
      <c r="H17" s="26">
        <f t="shared" si="0"/>
        <v>0</v>
      </c>
      <c r="I17" s="24" t="str">
        <f>Categorías!B16</f>
        <v>Extraordinario Evitable</v>
      </c>
    </row>
    <row r="18" spans="1:9" ht="15" customHeight="1" x14ac:dyDescent="0.25">
      <c r="A18" s="19"/>
      <c r="B18" s="20"/>
      <c r="C18" s="20"/>
      <c r="D18" s="21" t="str">
        <f>IFERROR(INDEX(Categorías!$B$2:$B$18,MATCH(C18,Categorías!$A$2:$A$18,0)),"")</f>
        <v/>
      </c>
      <c r="E18" s="22"/>
      <c r="G18" t="str">
        <f>Categorías!A17</f>
        <v>Multas</v>
      </c>
      <c r="H18" s="15">
        <f t="shared" si="0"/>
        <v>0</v>
      </c>
      <c r="I18" t="str">
        <f>Categorías!B17</f>
        <v>Extraordinario Evitable</v>
      </c>
    </row>
    <row r="19" spans="1:9" ht="15" customHeight="1" x14ac:dyDescent="0.25">
      <c r="A19" s="19"/>
      <c r="B19" s="20"/>
      <c r="C19" s="20"/>
      <c r="D19" s="21" t="str">
        <f>IFERROR(INDEX(Categorías!$B$2:$B$18,MATCH(C19,Categorías!$A$2:$A$18,0)),"")</f>
        <v/>
      </c>
      <c r="E19" s="22"/>
      <c r="G19" t="str">
        <f>Categorías!A18</f>
        <v>Otros extraordinarios</v>
      </c>
      <c r="H19" s="15">
        <f t="shared" si="0"/>
        <v>0</v>
      </c>
      <c r="I19" t="str">
        <f>Categorías!B18</f>
        <v>Extraordinario Inevitable</v>
      </c>
    </row>
    <row r="20" spans="1:9" ht="15" customHeight="1" x14ac:dyDescent="0.25">
      <c r="A20" s="19"/>
      <c r="B20" s="20"/>
      <c r="C20" s="20"/>
      <c r="D20" s="21" t="str">
        <f>IFERROR(INDEX(Categorías!$B$2:$B$18,MATCH(C20,Categorías!$A$2:$A$18,0)),"")</f>
        <v/>
      </c>
      <c r="E20" s="22"/>
      <c r="G20" s="11"/>
      <c r="H20" s="27"/>
    </row>
    <row r="21" spans="1:9" ht="15" customHeight="1" x14ac:dyDescent="0.25">
      <c r="A21" s="19"/>
      <c r="B21" s="20"/>
      <c r="C21" s="20"/>
      <c r="D21" s="21" t="str">
        <f>IFERROR(INDEX(Categorías!$B$2:$B$18,MATCH(C21,Categorías!$A$2:$A$18,0)),"")</f>
        <v/>
      </c>
      <c r="E21" s="22"/>
      <c r="G21" s="11" t="s">
        <v>35</v>
      </c>
      <c r="H21" s="27">
        <f>SUMIF($I$3:$I$19,"Ocio",$H$3:$H$19)</f>
        <v>0</v>
      </c>
    </row>
    <row r="22" spans="1:9" ht="15" customHeight="1" x14ac:dyDescent="0.25">
      <c r="A22" s="19"/>
      <c r="B22" s="20"/>
      <c r="C22" s="20"/>
      <c r="D22" s="21" t="str">
        <f>IFERROR(INDEX(Categorías!$B$2:$B$18,MATCH(C22,Categorías!$A$2:$A$18,0)),"")</f>
        <v/>
      </c>
      <c r="E22" s="22"/>
      <c r="G22" s="11" t="s">
        <v>36</v>
      </c>
      <c r="H22" s="27">
        <f>SUMIF($I$3:$I$19,"Ordinario",$H$3:$H$19)</f>
        <v>0</v>
      </c>
    </row>
    <row r="23" spans="1:9" ht="15" customHeight="1" x14ac:dyDescent="0.25">
      <c r="A23" s="19"/>
      <c r="B23" s="20"/>
      <c r="C23" s="20"/>
      <c r="D23" s="21" t="str">
        <f>IFERROR(INDEX(Categorías!$B$2:$B$18,MATCH(C23,Categorías!$A$2:$A$18,0)),"")</f>
        <v/>
      </c>
      <c r="E23" s="22"/>
      <c r="G23" s="11" t="s">
        <v>37</v>
      </c>
      <c r="H23" s="27">
        <f>SUMIF($I$3:$I$19,"Extraordinario*",$H$3:$H$19)</f>
        <v>0</v>
      </c>
    </row>
    <row r="24" spans="1:9" ht="15" customHeight="1" x14ac:dyDescent="0.25">
      <c r="A24" s="19"/>
      <c r="B24" s="20"/>
      <c r="C24" s="20"/>
      <c r="D24" s="21" t="str">
        <f>IFERROR(INDEX(Categorías!$B$2:$B$18,MATCH(C24,Categorías!$A$2:$A$18,0)),"")</f>
        <v/>
      </c>
      <c r="E24" s="22"/>
      <c r="G24" s="11" t="s">
        <v>38</v>
      </c>
      <c r="H24" s="27">
        <f>SUMIF($I$3:$I$19,"Extraordinario Evitable",$H$3:$H$19)</f>
        <v>0</v>
      </c>
    </row>
    <row r="25" spans="1:9" ht="15" customHeight="1" x14ac:dyDescent="0.25">
      <c r="A25" s="19"/>
      <c r="B25" s="20"/>
      <c r="C25" s="20"/>
      <c r="D25" s="21" t="str">
        <f>IFERROR(INDEX(Categorías!$B$2:$B$18,MATCH(C25,Categorías!$A$2:$A$18,0)),"")</f>
        <v/>
      </c>
      <c r="E25" s="22"/>
      <c r="G25" s="11" t="s">
        <v>39</v>
      </c>
      <c r="H25" s="27">
        <f>SUMIF($I$3:$I$19,"Extraordinario Inevitable",$H$3:$H$19)</f>
        <v>0</v>
      </c>
    </row>
    <row r="26" spans="1:9" ht="15" customHeight="1" x14ac:dyDescent="0.25">
      <c r="A26" s="19"/>
      <c r="B26" s="20"/>
      <c r="C26" s="20"/>
      <c r="D26" s="21" t="str">
        <f>IFERROR(INDEX(Categorías!$B$2:$B$18,MATCH(C26,Categorías!$A$2:$A$18,0)),"")</f>
        <v/>
      </c>
      <c r="E26" s="22"/>
      <c r="G26" s="11" t="s">
        <v>65</v>
      </c>
      <c r="H26" s="27">
        <f>SUM($E$3:$E$32)</f>
        <v>0</v>
      </c>
    </row>
    <row r="27" spans="1:9" ht="15" customHeight="1" x14ac:dyDescent="0.25">
      <c r="A27" s="19"/>
      <c r="B27" s="20"/>
      <c r="C27" s="20"/>
      <c r="D27" s="21" t="str">
        <f>IFERROR(INDEX(Categorías!$B$2:$B$18,MATCH(C27,Categorías!$A$2:$A$18,0)),"")</f>
        <v/>
      </c>
      <c r="E27" s="22"/>
    </row>
    <row r="28" spans="1:9" ht="15" customHeight="1" x14ac:dyDescent="0.25">
      <c r="A28" s="19"/>
      <c r="B28" s="20"/>
      <c r="C28" s="20"/>
      <c r="D28" s="21" t="str">
        <f>IFERROR(INDEX(Categorías!$B$2:$B$18,MATCH(C28,Categorías!$A$2:$A$18,0)),"")</f>
        <v/>
      </c>
      <c r="E28" s="22"/>
    </row>
    <row r="29" spans="1:9" ht="15" customHeight="1" x14ac:dyDescent="0.25">
      <c r="A29" s="19"/>
      <c r="B29" s="20"/>
      <c r="C29" s="20"/>
      <c r="D29" s="21" t="str">
        <f>IFERROR(INDEX(Categorías!$B$2:$B$18,MATCH(C29,Categorías!$A$2:$A$18,0)),"")</f>
        <v/>
      </c>
      <c r="E29" s="22"/>
    </row>
    <row r="30" spans="1:9" ht="15" customHeight="1" x14ac:dyDescent="0.25">
      <c r="A30" s="19"/>
      <c r="B30" s="20"/>
      <c r="C30" s="20"/>
      <c r="D30" s="21" t="str">
        <f>IFERROR(INDEX(Categorías!$B$2:$B$18,MATCH(C30,Categorías!$A$2:$A$18,0)),"")</f>
        <v/>
      </c>
      <c r="E30" s="22"/>
    </row>
    <row r="31" spans="1:9" ht="15" customHeight="1" x14ac:dyDescent="0.25">
      <c r="A31" s="19"/>
      <c r="B31" s="20"/>
      <c r="C31" s="20"/>
      <c r="D31" s="21" t="str">
        <f>IFERROR(INDEX(Categorías!$B$2:$B$18,MATCH(C31,Categorías!$A$2:$A$18,0)),"")</f>
        <v/>
      </c>
      <c r="E31" s="22"/>
    </row>
    <row r="32" spans="1:9" ht="15" customHeight="1" x14ac:dyDescent="0.25">
      <c r="A32" s="19"/>
      <c r="B32" s="20"/>
      <c r="C32" s="20"/>
      <c r="D32" s="21" t="str">
        <f>IFERROR(INDEX(Categorías!$B$2:$B$18,MATCH(C32,Categorías!$A$2:$A$18,0)),"")</f>
        <v/>
      </c>
      <c r="E32" s="22"/>
    </row>
  </sheetData>
  <mergeCells count="2">
    <mergeCell ref="A1:E1"/>
    <mergeCell ref="G2:H2"/>
  </mergeCells>
  <conditionalFormatting sqref="E3:E32">
    <cfRule type="dataBar" priority="2">
      <dataBar>
        <cfvo type="min"/>
        <cfvo type="max"/>
        <color rgb="FFFC605C"/>
      </dataBar>
      <extLst>
        <ext xmlns:x14="http://schemas.microsoft.com/office/spreadsheetml/2009/9/main" uri="{B025F937-C7B1-47D3-B67F-A62EFF666E3E}">
          <x14:id>{A8B75050-6280-4C4B-98DA-2C204CD4FE2E}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75050-6280-4C4B-98DA-2C204CD4FE2E}">
            <x14:dataBar axisPosition="none">
              <x14:cfvo type="min"/>
              <x14:cfvo type="max"/>
              <x14:negativeFillColor rgb="FFFC605C"/>
            </x14:dataBar>
          </x14:cfRule>
          <xm:sqref>E3:E32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30" customWidth="1"/>
    <col min="3" max="3" width="20" customWidth="1"/>
    <col min="4" max="4" width="14" customWidth="1"/>
    <col min="5" max="5" width="13" customWidth="1"/>
    <col min="7" max="7" width="20" customWidth="1"/>
    <col min="8" max="8" width="14" customWidth="1"/>
    <col min="9" max="9" width="10" hidden="1" customWidth="1"/>
  </cols>
  <sheetData>
    <row r="1" spans="1:9" ht="21.75" customHeight="1" x14ac:dyDescent="0.25">
      <c r="A1" s="2" t="s">
        <v>67</v>
      </c>
      <c r="B1" s="2"/>
      <c r="C1" s="2"/>
      <c r="D1" s="2"/>
      <c r="E1" s="2"/>
    </row>
    <row r="2" spans="1:9" ht="15" customHeight="1" x14ac:dyDescent="0.25">
      <c r="A2" s="4" t="s">
        <v>54</v>
      </c>
      <c r="B2" s="4" t="s">
        <v>55</v>
      </c>
      <c r="C2" s="4" t="s">
        <v>1</v>
      </c>
      <c r="D2" s="4" t="s">
        <v>2</v>
      </c>
      <c r="E2" s="4" t="s">
        <v>56</v>
      </c>
      <c r="G2" s="1" t="s">
        <v>64</v>
      </c>
      <c r="H2" s="1"/>
    </row>
    <row r="3" spans="1:9" ht="15" customHeight="1" x14ac:dyDescent="0.25">
      <c r="A3" s="19"/>
      <c r="B3" s="20"/>
      <c r="C3" s="20"/>
      <c r="D3" s="21" t="str">
        <f>IFERROR(INDEX(Categorías!$B$2:$B$18,MATCH(C3,Categorías!$A$2:$A$18,0)),"")</f>
        <v/>
      </c>
      <c r="E3" s="22"/>
      <c r="G3" s="5" t="str">
        <f>Categorías!A2</f>
        <v>Videojuegos</v>
      </c>
      <c r="H3" s="23">
        <f t="shared" ref="H3:H19" si="0">SUMIF($C$3:$C$32,G3,$E$3:$E$32)</f>
        <v>0</v>
      </c>
      <c r="I3" s="24" t="str">
        <f>Categorías!B2</f>
        <v>Ocio</v>
      </c>
    </row>
    <row r="4" spans="1:9" ht="15" customHeight="1" x14ac:dyDescent="0.25">
      <c r="A4" s="19"/>
      <c r="B4" s="20"/>
      <c r="C4" s="20"/>
      <c r="D4" s="21" t="str">
        <f>IFERROR(INDEX(Categorías!$B$2:$B$18,MATCH(C4,Categorías!$A$2:$A$18,0)),"")</f>
        <v/>
      </c>
      <c r="E4" s="22"/>
      <c r="G4" s="5" t="str">
        <f>Categorías!A3</f>
        <v>Apuestas</v>
      </c>
      <c r="H4" s="23">
        <f t="shared" si="0"/>
        <v>0</v>
      </c>
      <c r="I4" s="24" t="str">
        <f>Categorías!B3</f>
        <v>Ocio</v>
      </c>
    </row>
    <row r="5" spans="1:9" ht="15" customHeight="1" x14ac:dyDescent="0.25">
      <c r="A5" s="19"/>
      <c r="B5" s="20"/>
      <c r="C5" s="20"/>
      <c r="D5" s="21" t="str">
        <f>IFERROR(INDEX(Categorías!$B$2:$B$18,MATCH(C5,Categorías!$A$2:$A$18,0)),"")</f>
        <v/>
      </c>
      <c r="E5" s="22"/>
      <c r="G5" s="5" t="str">
        <f>Categorías!A4</f>
        <v>Salidas/Ocio</v>
      </c>
      <c r="H5" s="23">
        <f t="shared" si="0"/>
        <v>0</v>
      </c>
      <c r="I5" s="24" t="str">
        <f>Categorías!B4</f>
        <v>Ocio</v>
      </c>
    </row>
    <row r="6" spans="1:9" ht="15" customHeight="1" x14ac:dyDescent="0.25">
      <c r="A6" s="19"/>
      <c r="B6" s="20"/>
      <c r="C6" s="20"/>
      <c r="D6" s="21" t="str">
        <f>IFERROR(INDEX(Categorías!$B$2:$B$18,MATCH(C6,Categorías!$A$2:$A$18,0)),"")</f>
        <v/>
      </c>
      <c r="E6" s="22"/>
      <c r="G6" s="5" t="str">
        <f>Categorías!A5</f>
        <v>Suscripciones ocio</v>
      </c>
      <c r="H6" s="23">
        <f t="shared" si="0"/>
        <v>0</v>
      </c>
      <c r="I6" s="24" t="str">
        <f>Categorías!B5</f>
        <v>Ocio</v>
      </c>
    </row>
    <row r="7" spans="1:9" ht="15" customHeight="1" x14ac:dyDescent="0.25">
      <c r="A7" s="19"/>
      <c r="B7" s="20"/>
      <c r="C7" s="20"/>
      <c r="D7" s="21" t="str">
        <f>IFERROR(INDEX(Categorías!$B$2:$B$18,MATCH(C7,Categorías!$A$2:$A$18,0)),"")</f>
        <v/>
      </c>
      <c r="E7" s="22"/>
      <c r="G7" s="5" t="str">
        <f>Categorías!A6</f>
        <v>Viajes</v>
      </c>
      <c r="H7" s="23">
        <f t="shared" si="0"/>
        <v>0</v>
      </c>
      <c r="I7" s="24" t="str">
        <f>Categorías!B6</f>
        <v>Ocio</v>
      </c>
    </row>
    <row r="8" spans="1:9" ht="15" customHeight="1" x14ac:dyDescent="0.25">
      <c r="A8" s="19"/>
      <c r="B8" s="20"/>
      <c r="C8" s="20"/>
      <c r="D8" s="21" t="str">
        <f>IFERROR(INDEX(Categorías!$B$2:$B$18,MATCH(C8,Categorías!$A$2:$A$18,0)),"")</f>
        <v/>
      </c>
      <c r="E8" s="22"/>
      <c r="G8" s="5" t="str">
        <f>Categorías!A7</f>
        <v>Padel</v>
      </c>
      <c r="H8" s="23">
        <f t="shared" si="0"/>
        <v>0</v>
      </c>
      <c r="I8" s="24" t="str">
        <f>Categorías!B7</f>
        <v>Ocio</v>
      </c>
    </row>
    <row r="9" spans="1:9" ht="15" customHeight="1" x14ac:dyDescent="0.25">
      <c r="A9" s="19"/>
      <c r="B9" s="20"/>
      <c r="C9" s="20"/>
      <c r="D9" s="21" t="str">
        <f>IFERROR(INDEX(Categorías!$B$2:$B$18,MATCH(C9,Categorías!$A$2:$A$18,0)),"")</f>
        <v/>
      </c>
      <c r="E9" s="22"/>
      <c r="G9" s="5" t="str">
        <f>Categorías!A8</f>
        <v>Alimentación</v>
      </c>
      <c r="H9" s="23">
        <f t="shared" si="0"/>
        <v>0</v>
      </c>
      <c r="I9" s="24" t="str">
        <f>Categorías!B8</f>
        <v>Ocio</v>
      </c>
    </row>
    <row r="10" spans="1:9" ht="15" customHeight="1" x14ac:dyDescent="0.25">
      <c r="A10" s="19"/>
      <c r="B10" s="20"/>
      <c r="C10" s="20"/>
      <c r="D10" s="21" t="str">
        <f>IFERROR(INDEX(Categorías!$B$2:$B$18,MATCH(C10,Categorías!$A$2:$A$18,0)),"")</f>
        <v/>
      </c>
      <c r="E10" s="22"/>
      <c r="G10" s="5" t="str">
        <f>Categorías!A9</f>
        <v>Barça</v>
      </c>
      <c r="H10" s="23">
        <f t="shared" si="0"/>
        <v>0</v>
      </c>
      <c r="I10" s="24" t="str">
        <f>Categorías!B9</f>
        <v>Ocio</v>
      </c>
    </row>
    <row r="11" spans="1:9" ht="15" customHeight="1" x14ac:dyDescent="0.25">
      <c r="A11" s="19"/>
      <c r="B11" s="20"/>
      <c r="C11" s="20"/>
      <c r="D11" s="21" t="str">
        <f>IFERROR(INDEX(Categorías!$B$2:$B$18,MATCH(C11,Categorías!$A$2:$A$18,0)),"")</f>
        <v/>
      </c>
      <c r="E11" s="22"/>
      <c r="G11" s="5" t="str">
        <f>Categorías!A10</f>
        <v>Vivienda/Alquiler</v>
      </c>
      <c r="H11" s="23">
        <f t="shared" si="0"/>
        <v>0</v>
      </c>
      <c r="I11" s="24" t="str">
        <f>Categorías!B10</f>
        <v>Ordinario</v>
      </c>
    </row>
    <row r="12" spans="1:9" ht="15" customHeight="1" x14ac:dyDescent="0.25">
      <c r="A12" s="19"/>
      <c r="B12" s="20"/>
      <c r="C12" s="20"/>
      <c r="D12" s="21" t="str">
        <f>IFERROR(INDEX(Categorías!$B$2:$B$18,MATCH(C12,Categorías!$A$2:$A$18,0)),"")</f>
        <v/>
      </c>
      <c r="E12" s="22"/>
      <c r="G12" s="5" t="str">
        <f>Categorías!A11</f>
        <v>Transporte</v>
      </c>
      <c r="H12" s="23">
        <f t="shared" si="0"/>
        <v>0</v>
      </c>
      <c r="I12" s="24" t="str">
        <f>Categorías!B11</f>
        <v>Ordinario</v>
      </c>
    </row>
    <row r="13" spans="1:9" ht="15" customHeight="1" x14ac:dyDescent="0.25">
      <c r="A13" s="19"/>
      <c r="B13" s="20"/>
      <c r="C13" s="20"/>
      <c r="D13" s="21" t="str">
        <f>IFERROR(INDEX(Categorías!$B$2:$B$18,MATCH(C13,Categorías!$A$2:$A$18,0)),"")</f>
        <v/>
      </c>
      <c r="E13" s="22"/>
      <c r="G13" s="5" t="str">
        <f>Categorías!A12</f>
        <v>Salud</v>
      </c>
      <c r="H13" s="23">
        <f t="shared" si="0"/>
        <v>0</v>
      </c>
      <c r="I13" s="24" t="str">
        <f>Categorías!B12</f>
        <v>Ordinario</v>
      </c>
    </row>
    <row r="14" spans="1:9" ht="15" customHeight="1" x14ac:dyDescent="0.25">
      <c r="A14" s="19"/>
      <c r="B14" s="20"/>
      <c r="C14" s="20"/>
      <c r="D14" s="21" t="str">
        <f>IFERROR(INDEX(Categorías!$B$2:$B$18,MATCH(C14,Categorías!$A$2:$A$18,0)),"")</f>
        <v/>
      </c>
      <c r="E14" s="22"/>
      <c r="G14" s="5" t="str">
        <f>Categorías!A13</f>
        <v>Barbero</v>
      </c>
      <c r="H14" s="23">
        <f t="shared" si="0"/>
        <v>0</v>
      </c>
      <c r="I14" s="24" t="str">
        <f>Categorías!B13</f>
        <v>Ordinario</v>
      </c>
    </row>
    <row r="15" spans="1:9" ht="15" customHeight="1" x14ac:dyDescent="0.25">
      <c r="A15" s="19"/>
      <c r="B15" s="20"/>
      <c r="C15" s="20"/>
      <c r="D15" s="21" t="str">
        <f>IFERROR(INDEX(Categorías!$B$2:$B$18,MATCH(C15,Categorías!$A$2:$A$18,0)),"")</f>
        <v/>
      </c>
      <c r="E15" s="22"/>
      <c r="G15" s="5" t="str">
        <f>Categorías!A14</f>
        <v>Otros</v>
      </c>
      <c r="H15" s="23">
        <f t="shared" si="0"/>
        <v>0</v>
      </c>
      <c r="I15" s="24" t="str">
        <f>Categorías!B14</f>
        <v>Ordinario</v>
      </c>
    </row>
    <row r="16" spans="1:9" ht="15" customHeight="1" x14ac:dyDescent="0.25">
      <c r="A16" s="19"/>
      <c r="B16" s="20"/>
      <c r="C16" s="20"/>
      <c r="D16" s="21" t="str">
        <f>IFERROR(INDEX(Categorías!$B$2:$B$18,MATCH(C16,Categorías!$A$2:$A$18,0)),"")</f>
        <v/>
      </c>
      <c r="E16" s="22"/>
      <c r="G16" s="5" t="str">
        <f>Categorías!A15</f>
        <v>Burocracia</v>
      </c>
      <c r="H16" s="23">
        <f t="shared" si="0"/>
        <v>0</v>
      </c>
      <c r="I16" s="24" t="str">
        <f>Categorías!B15</f>
        <v>Extraordinario Inevitable</v>
      </c>
    </row>
    <row r="17" spans="1:9" ht="15" customHeight="1" x14ac:dyDescent="0.25">
      <c r="A17" s="19"/>
      <c r="B17" s="20"/>
      <c r="C17" s="20"/>
      <c r="D17" s="21" t="str">
        <f>IFERROR(INDEX(Categorías!$B$2:$B$18,MATCH(C17,Categorías!$A$2:$A$18,0)),"")</f>
        <v/>
      </c>
      <c r="E17" s="22"/>
      <c r="G17" s="25" t="str">
        <f>Categorías!A16</f>
        <v>Regalos</v>
      </c>
      <c r="H17" s="26">
        <f t="shared" si="0"/>
        <v>0</v>
      </c>
      <c r="I17" s="24" t="str">
        <f>Categorías!B16</f>
        <v>Extraordinario Evitable</v>
      </c>
    </row>
    <row r="18" spans="1:9" ht="15" customHeight="1" x14ac:dyDescent="0.25">
      <c r="A18" s="19"/>
      <c r="B18" s="20"/>
      <c r="C18" s="20"/>
      <c r="D18" s="21" t="str">
        <f>IFERROR(INDEX(Categorías!$B$2:$B$18,MATCH(C18,Categorías!$A$2:$A$18,0)),"")</f>
        <v/>
      </c>
      <c r="E18" s="22"/>
      <c r="G18" t="str">
        <f>Categorías!A17</f>
        <v>Multas</v>
      </c>
      <c r="H18" s="15">
        <f t="shared" si="0"/>
        <v>0</v>
      </c>
      <c r="I18" t="str">
        <f>Categorías!B17</f>
        <v>Extraordinario Evitable</v>
      </c>
    </row>
    <row r="19" spans="1:9" ht="15" customHeight="1" x14ac:dyDescent="0.25">
      <c r="A19" s="19"/>
      <c r="B19" s="20"/>
      <c r="C19" s="20"/>
      <c r="D19" s="21" t="str">
        <f>IFERROR(INDEX(Categorías!$B$2:$B$18,MATCH(C19,Categorías!$A$2:$A$18,0)),"")</f>
        <v/>
      </c>
      <c r="E19" s="22"/>
      <c r="G19" t="str">
        <f>Categorías!A18</f>
        <v>Otros extraordinarios</v>
      </c>
      <c r="H19" s="15">
        <f t="shared" si="0"/>
        <v>0</v>
      </c>
      <c r="I19" t="str">
        <f>Categorías!B18</f>
        <v>Extraordinario Inevitable</v>
      </c>
    </row>
    <row r="20" spans="1:9" ht="15" customHeight="1" x14ac:dyDescent="0.25">
      <c r="A20" s="19"/>
      <c r="B20" s="20"/>
      <c r="C20" s="20"/>
      <c r="D20" s="21" t="str">
        <f>IFERROR(INDEX(Categorías!$B$2:$B$18,MATCH(C20,Categorías!$A$2:$A$18,0)),"")</f>
        <v/>
      </c>
      <c r="E20" s="22"/>
      <c r="G20" s="11"/>
      <c r="H20" s="27"/>
    </row>
    <row r="21" spans="1:9" ht="15" customHeight="1" x14ac:dyDescent="0.25">
      <c r="A21" s="19"/>
      <c r="B21" s="20"/>
      <c r="C21" s="20"/>
      <c r="D21" s="21" t="str">
        <f>IFERROR(INDEX(Categorías!$B$2:$B$18,MATCH(C21,Categorías!$A$2:$A$18,0)),"")</f>
        <v/>
      </c>
      <c r="E21" s="22"/>
      <c r="G21" s="11" t="s">
        <v>35</v>
      </c>
      <c r="H21" s="27">
        <f>SUMIF($I$3:$I$19,"Ocio",$H$3:$H$19)</f>
        <v>0</v>
      </c>
    </row>
    <row r="22" spans="1:9" ht="15" customHeight="1" x14ac:dyDescent="0.25">
      <c r="A22" s="19"/>
      <c r="B22" s="20"/>
      <c r="C22" s="20"/>
      <c r="D22" s="21" t="str">
        <f>IFERROR(INDEX(Categorías!$B$2:$B$18,MATCH(C22,Categorías!$A$2:$A$18,0)),"")</f>
        <v/>
      </c>
      <c r="E22" s="22"/>
      <c r="G22" s="11" t="s">
        <v>36</v>
      </c>
      <c r="H22" s="27">
        <f>SUMIF($I$3:$I$19,"Ordinario",$H$3:$H$19)</f>
        <v>0</v>
      </c>
    </row>
    <row r="23" spans="1:9" ht="15" customHeight="1" x14ac:dyDescent="0.25">
      <c r="A23" s="19"/>
      <c r="B23" s="20"/>
      <c r="C23" s="20"/>
      <c r="D23" s="21" t="str">
        <f>IFERROR(INDEX(Categorías!$B$2:$B$18,MATCH(C23,Categorías!$A$2:$A$18,0)),"")</f>
        <v/>
      </c>
      <c r="E23" s="22"/>
      <c r="G23" s="11" t="s">
        <v>37</v>
      </c>
      <c r="H23" s="27">
        <f>SUMIF($I$3:$I$19,"Extraordinario*",$H$3:$H$19)</f>
        <v>0</v>
      </c>
    </row>
    <row r="24" spans="1:9" ht="15" customHeight="1" x14ac:dyDescent="0.25">
      <c r="A24" s="19"/>
      <c r="B24" s="20"/>
      <c r="C24" s="20"/>
      <c r="D24" s="21" t="str">
        <f>IFERROR(INDEX(Categorías!$B$2:$B$18,MATCH(C24,Categorías!$A$2:$A$18,0)),"")</f>
        <v/>
      </c>
      <c r="E24" s="22"/>
      <c r="G24" s="11" t="s">
        <v>38</v>
      </c>
      <c r="H24" s="27">
        <f>SUMIF($I$3:$I$19,"Extraordinario Evitable",$H$3:$H$19)</f>
        <v>0</v>
      </c>
    </row>
    <row r="25" spans="1:9" ht="15" customHeight="1" x14ac:dyDescent="0.25">
      <c r="A25" s="19"/>
      <c r="B25" s="20"/>
      <c r="C25" s="20"/>
      <c r="D25" s="21" t="str">
        <f>IFERROR(INDEX(Categorías!$B$2:$B$18,MATCH(C25,Categorías!$A$2:$A$18,0)),"")</f>
        <v/>
      </c>
      <c r="E25" s="22"/>
      <c r="G25" s="11" t="s">
        <v>39</v>
      </c>
      <c r="H25" s="27">
        <f>SUMIF($I$3:$I$19,"Extraordinario Inevitable",$H$3:$H$19)</f>
        <v>0</v>
      </c>
    </row>
    <row r="26" spans="1:9" ht="15" customHeight="1" x14ac:dyDescent="0.25">
      <c r="A26" s="19"/>
      <c r="B26" s="20"/>
      <c r="C26" s="20"/>
      <c r="D26" s="21" t="str">
        <f>IFERROR(INDEX(Categorías!$B$2:$B$18,MATCH(C26,Categorías!$A$2:$A$18,0)),"")</f>
        <v/>
      </c>
      <c r="E26" s="22"/>
      <c r="G26" s="11" t="s">
        <v>65</v>
      </c>
      <c r="H26" s="27">
        <f>SUM($E$3:$E$32)</f>
        <v>0</v>
      </c>
    </row>
    <row r="27" spans="1:9" ht="15" customHeight="1" x14ac:dyDescent="0.25">
      <c r="A27" s="19"/>
      <c r="B27" s="20"/>
      <c r="C27" s="20"/>
      <c r="D27" s="21" t="str">
        <f>IFERROR(INDEX(Categorías!$B$2:$B$18,MATCH(C27,Categorías!$A$2:$A$18,0)),"")</f>
        <v/>
      </c>
      <c r="E27" s="22"/>
    </row>
    <row r="28" spans="1:9" ht="15" customHeight="1" x14ac:dyDescent="0.25">
      <c r="A28" s="19"/>
      <c r="B28" s="20"/>
      <c r="C28" s="20"/>
      <c r="D28" s="21" t="str">
        <f>IFERROR(INDEX(Categorías!$B$2:$B$18,MATCH(C28,Categorías!$A$2:$A$18,0)),"")</f>
        <v/>
      </c>
      <c r="E28" s="22"/>
    </row>
    <row r="29" spans="1:9" ht="15" customHeight="1" x14ac:dyDescent="0.25">
      <c r="A29" s="19"/>
      <c r="B29" s="20"/>
      <c r="C29" s="20"/>
      <c r="D29" s="21" t="str">
        <f>IFERROR(INDEX(Categorías!$B$2:$B$18,MATCH(C29,Categorías!$A$2:$A$18,0)),"")</f>
        <v/>
      </c>
      <c r="E29" s="22"/>
    </row>
    <row r="30" spans="1:9" ht="15" customHeight="1" x14ac:dyDescent="0.25">
      <c r="A30" s="19"/>
      <c r="B30" s="20"/>
      <c r="C30" s="20"/>
      <c r="D30" s="21" t="str">
        <f>IFERROR(INDEX(Categorías!$B$2:$B$18,MATCH(C30,Categorías!$A$2:$A$18,0)),"")</f>
        <v/>
      </c>
      <c r="E30" s="22"/>
    </row>
    <row r="31" spans="1:9" ht="15" customHeight="1" x14ac:dyDescent="0.25">
      <c r="A31" s="19"/>
      <c r="B31" s="20"/>
      <c r="C31" s="20"/>
      <c r="D31" s="21" t="str">
        <f>IFERROR(INDEX(Categorías!$B$2:$B$18,MATCH(C31,Categorías!$A$2:$A$18,0)),"")</f>
        <v/>
      </c>
      <c r="E31" s="22"/>
    </row>
    <row r="32" spans="1:9" ht="15" customHeight="1" x14ac:dyDescent="0.25">
      <c r="A32" s="19"/>
      <c r="B32" s="20"/>
      <c r="C32" s="20"/>
      <c r="D32" s="21" t="str">
        <f>IFERROR(INDEX(Categorías!$B$2:$B$18,MATCH(C32,Categorías!$A$2:$A$18,0)),"")</f>
        <v/>
      </c>
      <c r="E32" s="22"/>
    </row>
  </sheetData>
  <mergeCells count="2">
    <mergeCell ref="A1:E1"/>
    <mergeCell ref="G2:H2"/>
  </mergeCells>
  <conditionalFormatting sqref="E3:E32">
    <cfRule type="dataBar" priority="2">
      <dataBar>
        <cfvo type="min"/>
        <cfvo type="max"/>
        <color rgb="FFFC605C"/>
      </dataBar>
      <extLst>
        <ext xmlns:x14="http://schemas.microsoft.com/office/spreadsheetml/2009/9/main" uri="{B025F937-C7B1-47D3-B67F-A62EFF666E3E}">
          <x14:id>{D07558C5-EB66-43E3-B84F-D9E022B3926E}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7558C5-EB66-43E3-B84F-D9E022B3926E}">
            <x14:dataBar axisPosition="none">
              <x14:cfvo type="min"/>
              <x14:cfvo type="max"/>
              <x14:negativeFillColor rgb="FFFC605C"/>
            </x14:dataBar>
          </x14:cfRule>
          <xm:sqref>E3:E32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30" customWidth="1"/>
    <col min="3" max="3" width="20" customWidth="1"/>
    <col min="4" max="4" width="14" customWidth="1"/>
    <col min="5" max="5" width="13" customWidth="1"/>
    <col min="7" max="7" width="20" customWidth="1"/>
    <col min="8" max="8" width="14" customWidth="1"/>
    <col min="9" max="9" width="10" hidden="1" customWidth="1"/>
  </cols>
  <sheetData>
    <row r="1" spans="1:9" ht="21.75" customHeight="1" x14ac:dyDescent="0.25">
      <c r="A1" s="2" t="s">
        <v>68</v>
      </c>
      <c r="B1" s="2"/>
      <c r="C1" s="2"/>
      <c r="D1" s="2"/>
      <c r="E1" s="2"/>
    </row>
    <row r="2" spans="1:9" ht="15" customHeight="1" x14ac:dyDescent="0.25">
      <c r="A2" s="4" t="s">
        <v>54</v>
      </c>
      <c r="B2" s="4" t="s">
        <v>55</v>
      </c>
      <c r="C2" s="4" t="s">
        <v>1</v>
      </c>
      <c r="D2" s="4" t="s">
        <v>2</v>
      </c>
      <c r="E2" s="4" t="s">
        <v>56</v>
      </c>
      <c r="G2" s="1" t="s">
        <v>64</v>
      </c>
      <c r="H2" s="1"/>
    </row>
    <row r="3" spans="1:9" ht="15" customHeight="1" x14ac:dyDescent="0.25">
      <c r="A3" s="19"/>
      <c r="B3" s="20"/>
      <c r="C3" s="20"/>
      <c r="D3" s="21" t="str">
        <f>IFERROR(INDEX(Categorías!$B$2:$B$18,MATCH(C3,Categorías!$A$2:$A$18,0)),"")</f>
        <v/>
      </c>
      <c r="E3" s="22"/>
      <c r="G3" s="5" t="str">
        <f>Categorías!A2</f>
        <v>Videojuegos</v>
      </c>
      <c r="H3" s="23">
        <f t="shared" ref="H3:H19" si="0">SUMIF($C$3:$C$32,G3,$E$3:$E$32)</f>
        <v>0</v>
      </c>
      <c r="I3" s="24" t="str">
        <f>Categorías!B2</f>
        <v>Ocio</v>
      </c>
    </row>
    <row r="4" spans="1:9" ht="15" customHeight="1" x14ac:dyDescent="0.25">
      <c r="A4" s="19"/>
      <c r="B4" s="20"/>
      <c r="C4" s="20"/>
      <c r="D4" s="21" t="str">
        <f>IFERROR(INDEX(Categorías!$B$2:$B$18,MATCH(C4,Categorías!$A$2:$A$18,0)),"")</f>
        <v/>
      </c>
      <c r="E4" s="22"/>
      <c r="G4" s="5" t="str">
        <f>Categorías!A3</f>
        <v>Apuestas</v>
      </c>
      <c r="H4" s="23">
        <f t="shared" si="0"/>
        <v>0</v>
      </c>
      <c r="I4" s="24" t="str">
        <f>Categorías!B3</f>
        <v>Ocio</v>
      </c>
    </row>
    <row r="5" spans="1:9" ht="15" customHeight="1" x14ac:dyDescent="0.25">
      <c r="A5" s="19"/>
      <c r="B5" s="20"/>
      <c r="C5" s="20"/>
      <c r="D5" s="21" t="str">
        <f>IFERROR(INDEX(Categorías!$B$2:$B$18,MATCH(C5,Categorías!$A$2:$A$18,0)),"")</f>
        <v/>
      </c>
      <c r="E5" s="22"/>
      <c r="G5" s="5" t="str">
        <f>Categorías!A4</f>
        <v>Salidas/Ocio</v>
      </c>
      <c r="H5" s="23">
        <f t="shared" si="0"/>
        <v>0</v>
      </c>
      <c r="I5" s="24" t="str">
        <f>Categorías!B4</f>
        <v>Ocio</v>
      </c>
    </row>
    <row r="6" spans="1:9" ht="15" customHeight="1" x14ac:dyDescent="0.25">
      <c r="A6" s="19"/>
      <c r="B6" s="20"/>
      <c r="C6" s="20"/>
      <c r="D6" s="21" t="str">
        <f>IFERROR(INDEX(Categorías!$B$2:$B$18,MATCH(C6,Categorías!$A$2:$A$18,0)),"")</f>
        <v/>
      </c>
      <c r="E6" s="22"/>
      <c r="G6" s="5" t="str">
        <f>Categorías!A5</f>
        <v>Suscripciones ocio</v>
      </c>
      <c r="H6" s="23">
        <f t="shared" si="0"/>
        <v>0</v>
      </c>
      <c r="I6" s="24" t="str">
        <f>Categorías!B5</f>
        <v>Ocio</v>
      </c>
    </row>
    <row r="7" spans="1:9" ht="15" customHeight="1" x14ac:dyDescent="0.25">
      <c r="A7" s="19"/>
      <c r="B7" s="20"/>
      <c r="C7" s="20"/>
      <c r="D7" s="21" t="str">
        <f>IFERROR(INDEX(Categorías!$B$2:$B$18,MATCH(C7,Categorías!$A$2:$A$18,0)),"")</f>
        <v/>
      </c>
      <c r="E7" s="22"/>
      <c r="G7" s="5" t="str">
        <f>Categorías!A6</f>
        <v>Viajes</v>
      </c>
      <c r="H7" s="23">
        <f t="shared" si="0"/>
        <v>0</v>
      </c>
      <c r="I7" s="24" t="str">
        <f>Categorías!B6</f>
        <v>Ocio</v>
      </c>
    </row>
    <row r="8" spans="1:9" ht="15" customHeight="1" x14ac:dyDescent="0.25">
      <c r="A8" s="19"/>
      <c r="B8" s="20"/>
      <c r="C8" s="20"/>
      <c r="D8" s="21" t="str">
        <f>IFERROR(INDEX(Categorías!$B$2:$B$18,MATCH(C8,Categorías!$A$2:$A$18,0)),"")</f>
        <v/>
      </c>
      <c r="E8" s="22"/>
      <c r="G8" s="5" t="str">
        <f>Categorías!A7</f>
        <v>Padel</v>
      </c>
      <c r="H8" s="23">
        <f t="shared" si="0"/>
        <v>0</v>
      </c>
      <c r="I8" s="24" t="str">
        <f>Categorías!B7</f>
        <v>Ocio</v>
      </c>
    </row>
    <row r="9" spans="1:9" ht="15" customHeight="1" x14ac:dyDescent="0.25">
      <c r="A9" s="19"/>
      <c r="B9" s="20"/>
      <c r="C9" s="20"/>
      <c r="D9" s="21" t="str">
        <f>IFERROR(INDEX(Categorías!$B$2:$B$18,MATCH(C9,Categorías!$A$2:$A$18,0)),"")</f>
        <v/>
      </c>
      <c r="E9" s="22"/>
      <c r="G9" s="5" t="str">
        <f>Categorías!A8</f>
        <v>Alimentación</v>
      </c>
      <c r="H9" s="23">
        <f t="shared" si="0"/>
        <v>0</v>
      </c>
      <c r="I9" s="24" t="str">
        <f>Categorías!B8</f>
        <v>Ocio</v>
      </c>
    </row>
    <row r="10" spans="1:9" ht="15" customHeight="1" x14ac:dyDescent="0.25">
      <c r="A10" s="19"/>
      <c r="B10" s="20"/>
      <c r="C10" s="20"/>
      <c r="D10" s="21" t="str">
        <f>IFERROR(INDEX(Categorías!$B$2:$B$18,MATCH(C10,Categorías!$A$2:$A$18,0)),"")</f>
        <v/>
      </c>
      <c r="E10" s="22"/>
      <c r="G10" s="5" t="str">
        <f>Categorías!A9</f>
        <v>Barça</v>
      </c>
      <c r="H10" s="23">
        <f t="shared" si="0"/>
        <v>0</v>
      </c>
      <c r="I10" s="24" t="str">
        <f>Categorías!B9</f>
        <v>Ocio</v>
      </c>
    </row>
    <row r="11" spans="1:9" ht="15" customHeight="1" x14ac:dyDescent="0.25">
      <c r="A11" s="19"/>
      <c r="B11" s="20"/>
      <c r="C11" s="20"/>
      <c r="D11" s="21" t="str">
        <f>IFERROR(INDEX(Categorías!$B$2:$B$18,MATCH(C11,Categorías!$A$2:$A$18,0)),"")</f>
        <v/>
      </c>
      <c r="E11" s="22"/>
      <c r="G11" s="5" t="str">
        <f>Categorías!A10</f>
        <v>Vivienda/Alquiler</v>
      </c>
      <c r="H11" s="23">
        <f t="shared" si="0"/>
        <v>0</v>
      </c>
      <c r="I11" s="24" t="str">
        <f>Categorías!B10</f>
        <v>Ordinario</v>
      </c>
    </row>
    <row r="12" spans="1:9" ht="15" customHeight="1" x14ac:dyDescent="0.25">
      <c r="A12" s="19"/>
      <c r="B12" s="20"/>
      <c r="C12" s="20"/>
      <c r="D12" s="21" t="str">
        <f>IFERROR(INDEX(Categorías!$B$2:$B$18,MATCH(C12,Categorías!$A$2:$A$18,0)),"")</f>
        <v/>
      </c>
      <c r="E12" s="22"/>
      <c r="G12" s="5" t="str">
        <f>Categorías!A11</f>
        <v>Transporte</v>
      </c>
      <c r="H12" s="23">
        <f t="shared" si="0"/>
        <v>0</v>
      </c>
      <c r="I12" s="24" t="str">
        <f>Categorías!B11</f>
        <v>Ordinario</v>
      </c>
    </row>
    <row r="13" spans="1:9" ht="15" customHeight="1" x14ac:dyDescent="0.25">
      <c r="A13" s="19"/>
      <c r="B13" s="20"/>
      <c r="C13" s="20"/>
      <c r="D13" s="21" t="str">
        <f>IFERROR(INDEX(Categorías!$B$2:$B$18,MATCH(C13,Categorías!$A$2:$A$18,0)),"")</f>
        <v/>
      </c>
      <c r="E13" s="22"/>
      <c r="G13" s="5" t="str">
        <f>Categorías!A12</f>
        <v>Salud</v>
      </c>
      <c r="H13" s="23">
        <f t="shared" si="0"/>
        <v>0</v>
      </c>
      <c r="I13" s="24" t="str">
        <f>Categorías!B12</f>
        <v>Ordinario</v>
      </c>
    </row>
    <row r="14" spans="1:9" ht="15" customHeight="1" x14ac:dyDescent="0.25">
      <c r="A14" s="19"/>
      <c r="B14" s="20"/>
      <c r="C14" s="20"/>
      <c r="D14" s="21" t="str">
        <f>IFERROR(INDEX(Categorías!$B$2:$B$18,MATCH(C14,Categorías!$A$2:$A$18,0)),"")</f>
        <v/>
      </c>
      <c r="E14" s="22"/>
      <c r="G14" s="5" t="str">
        <f>Categorías!A13</f>
        <v>Barbero</v>
      </c>
      <c r="H14" s="23">
        <f t="shared" si="0"/>
        <v>0</v>
      </c>
      <c r="I14" s="24" t="str">
        <f>Categorías!B13</f>
        <v>Ordinario</v>
      </c>
    </row>
    <row r="15" spans="1:9" ht="15" customHeight="1" x14ac:dyDescent="0.25">
      <c r="A15" s="19"/>
      <c r="B15" s="20"/>
      <c r="C15" s="20"/>
      <c r="D15" s="21" t="str">
        <f>IFERROR(INDEX(Categorías!$B$2:$B$18,MATCH(C15,Categorías!$A$2:$A$18,0)),"")</f>
        <v/>
      </c>
      <c r="E15" s="22"/>
      <c r="G15" s="5" t="str">
        <f>Categorías!A14</f>
        <v>Otros</v>
      </c>
      <c r="H15" s="23">
        <f t="shared" si="0"/>
        <v>0</v>
      </c>
      <c r="I15" s="24" t="str">
        <f>Categorías!B14</f>
        <v>Ordinario</v>
      </c>
    </row>
    <row r="16" spans="1:9" ht="15" customHeight="1" x14ac:dyDescent="0.25">
      <c r="A16" s="19"/>
      <c r="B16" s="20"/>
      <c r="C16" s="20"/>
      <c r="D16" s="21" t="str">
        <f>IFERROR(INDEX(Categorías!$B$2:$B$18,MATCH(C16,Categorías!$A$2:$A$18,0)),"")</f>
        <v/>
      </c>
      <c r="E16" s="22"/>
      <c r="G16" s="5" t="str">
        <f>Categorías!A15</f>
        <v>Burocracia</v>
      </c>
      <c r="H16" s="23">
        <f t="shared" si="0"/>
        <v>0</v>
      </c>
      <c r="I16" s="24" t="str">
        <f>Categorías!B15</f>
        <v>Extraordinario Inevitable</v>
      </c>
    </row>
    <row r="17" spans="1:9" ht="15" customHeight="1" x14ac:dyDescent="0.25">
      <c r="A17" s="19"/>
      <c r="B17" s="20"/>
      <c r="C17" s="20"/>
      <c r="D17" s="21" t="str">
        <f>IFERROR(INDEX(Categorías!$B$2:$B$18,MATCH(C17,Categorías!$A$2:$A$18,0)),"")</f>
        <v/>
      </c>
      <c r="E17" s="22"/>
      <c r="G17" s="25" t="str">
        <f>Categorías!A16</f>
        <v>Regalos</v>
      </c>
      <c r="H17" s="26">
        <f t="shared" si="0"/>
        <v>0</v>
      </c>
      <c r="I17" s="24" t="str">
        <f>Categorías!B16</f>
        <v>Extraordinario Evitable</v>
      </c>
    </row>
    <row r="18" spans="1:9" ht="15" customHeight="1" x14ac:dyDescent="0.25">
      <c r="A18" s="19"/>
      <c r="B18" s="20"/>
      <c r="C18" s="20"/>
      <c r="D18" s="21" t="str">
        <f>IFERROR(INDEX(Categorías!$B$2:$B$18,MATCH(C18,Categorías!$A$2:$A$18,0)),"")</f>
        <v/>
      </c>
      <c r="E18" s="22"/>
      <c r="G18" t="str">
        <f>Categorías!A17</f>
        <v>Multas</v>
      </c>
      <c r="H18" s="15">
        <f t="shared" si="0"/>
        <v>0</v>
      </c>
      <c r="I18" t="str">
        <f>Categorías!B17</f>
        <v>Extraordinario Evitable</v>
      </c>
    </row>
    <row r="19" spans="1:9" ht="15" customHeight="1" x14ac:dyDescent="0.25">
      <c r="A19" s="19"/>
      <c r="B19" s="20"/>
      <c r="C19" s="20"/>
      <c r="D19" s="21" t="str">
        <f>IFERROR(INDEX(Categorías!$B$2:$B$18,MATCH(C19,Categorías!$A$2:$A$18,0)),"")</f>
        <v/>
      </c>
      <c r="E19" s="22"/>
      <c r="G19" t="str">
        <f>Categorías!A18</f>
        <v>Otros extraordinarios</v>
      </c>
      <c r="H19" s="15">
        <f t="shared" si="0"/>
        <v>0</v>
      </c>
      <c r="I19" t="str">
        <f>Categorías!B18</f>
        <v>Extraordinario Inevitable</v>
      </c>
    </row>
    <row r="20" spans="1:9" ht="15" customHeight="1" x14ac:dyDescent="0.25">
      <c r="A20" s="19"/>
      <c r="B20" s="20"/>
      <c r="C20" s="20"/>
      <c r="D20" s="21" t="str">
        <f>IFERROR(INDEX(Categorías!$B$2:$B$18,MATCH(C20,Categorías!$A$2:$A$18,0)),"")</f>
        <v/>
      </c>
      <c r="E20" s="22"/>
      <c r="G20" s="11"/>
      <c r="H20" s="27"/>
    </row>
    <row r="21" spans="1:9" ht="15" customHeight="1" x14ac:dyDescent="0.25">
      <c r="A21" s="19"/>
      <c r="B21" s="20"/>
      <c r="C21" s="20"/>
      <c r="D21" s="21" t="str">
        <f>IFERROR(INDEX(Categorías!$B$2:$B$18,MATCH(C21,Categorías!$A$2:$A$18,0)),"")</f>
        <v/>
      </c>
      <c r="E21" s="22"/>
      <c r="G21" s="11" t="s">
        <v>35</v>
      </c>
      <c r="H21" s="27">
        <f>SUMIF($I$3:$I$19,"Ocio",$H$3:$H$19)</f>
        <v>0</v>
      </c>
    </row>
    <row r="22" spans="1:9" ht="15" customHeight="1" x14ac:dyDescent="0.25">
      <c r="A22" s="19"/>
      <c r="B22" s="20"/>
      <c r="C22" s="20"/>
      <c r="D22" s="21" t="str">
        <f>IFERROR(INDEX(Categorías!$B$2:$B$18,MATCH(C22,Categorías!$A$2:$A$18,0)),"")</f>
        <v/>
      </c>
      <c r="E22" s="22"/>
      <c r="G22" s="11" t="s">
        <v>36</v>
      </c>
      <c r="H22" s="27">
        <f>SUMIF($I$3:$I$19,"Ordinario",$H$3:$H$19)</f>
        <v>0</v>
      </c>
    </row>
    <row r="23" spans="1:9" ht="15" customHeight="1" x14ac:dyDescent="0.25">
      <c r="A23" s="19"/>
      <c r="B23" s="20"/>
      <c r="C23" s="20"/>
      <c r="D23" s="21" t="str">
        <f>IFERROR(INDEX(Categorías!$B$2:$B$18,MATCH(C23,Categorías!$A$2:$A$18,0)),"")</f>
        <v/>
      </c>
      <c r="E23" s="22"/>
      <c r="G23" s="11" t="s">
        <v>37</v>
      </c>
      <c r="H23" s="27">
        <f>SUMIF($I$3:$I$19,"Extraordinario*",$H$3:$H$19)</f>
        <v>0</v>
      </c>
    </row>
    <row r="24" spans="1:9" ht="15" customHeight="1" x14ac:dyDescent="0.25">
      <c r="A24" s="19"/>
      <c r="B24" s="20"/>
      <c r="C24" s="20"/>
      <c r="D24" s="21" t="str">
        <f>IFERROR(INDEX(Categorías!$B$2:$B$18,MATCH(C24,Categorías!$A$2:$A$18,0)),"")</f>
        <v/>
      </c>
      <c r="E24" s="22"/>
      <c r="G24" s="11" t="s">
        <v>38</v>
      </c>
      <c r="H24" s="27">
        <f>SUMIF($I$3:$I$19,"Extraordinario Evitable",$H$3:$H$19)</f>
        <v>0</v>
      </c>
    </row>
    <row r="25" spans="1:9" ht="15" customHeight="1" x14ac:dyDescent="0.25">
      <c r="A25" s="19"/>
      <c r="B25" s="20"/>
      <c r="C25" s="20"/>
      <c r="D25" s="21" t="str">
        <f>IFERROR(INDEX(Categorías!$B$2:$B$18,MATCH(C25,Categorías!$A$2:$A$18,0)),"")</f>
        <v/>
      </c>
      <c r="E25" s="22"/>
      <c r="G25" s="11" t="s">
        <v>39</v>
      </c>
      <c r="H25" s="27">
        <f>SUMIF($I$3:$I$19,"Extraordinario Inevitable",$H$3:$H$19)</f>
        <v>0</v>
      </c>
    </row>
    <row r="26" spans="1:9" ht="15" customHeight="1" x14ac:dyDescent="0.25">
      <c r="A26" s="19"/>
      <c r="B26" s="20"/>
      <c r="C26" s="20"/>
      <c r="D26" s="21" t="str">
        <f>IFERROR(INDEX(Categorías!$B$2:$B$18,MATCH(C26,Categorías!$A$2:$A$18,0)),"")</f>
        <v/>
      </c>
      <c r="E26" s="22"/>
      <c r="G26" s="11" t="s">
        <v>65</v>
      </c>
      <c r="H26" s="27">
        <f>SUM($E$3:$E$32)</f>
        <v>0</v>
      </c>
    </row>
    <row r="27" spans="1:9" ht="15" customHeight="1" x14ac:dyDescent="0.25">
      <c r="A27" s="19"/>
      <c r="B27" s="20"/>
      <c r="C27" s="20"/>
      <c r="D27" s="21" t="str">
        <f>IFERROR(INDEX(Categorías!$B$2:$B$18,MATCH(C27,Categorías!$A$2:$A$18,0)),"")</f>
        <v/>
      </c>
      <c r="E27" s="22"/>
    </row>
    <row r="28" spans="1:9" ht="15" customHeight="1" x14ac:dyDescent="0.25">
      <c r="A28" s="19"/>
      <c r="B28" s="20"/>
      <c r="C28" s="20"/>
      <c r="D28" s="21" t="str">
        <f>IFERROR(INDEX(Categorías!$B$2:$B$18,MATCH(C28,Categorías!$A$2:$A$18,0)),"")</f>
        <v/>
      </c>
      <c r="E28" s="22"/>
    </row>
    <row r="29" spans="1:9" ht="15" customHeight="1" x14ac:dyDescent="0.25">
      <c r="A29" s="19"/>
      <c r="B29" s="20"/>
      <c r="C29" s="20"/>
      <c r="D29" s="21" t="str">
        <f>IFERROR(INDEX(Categorías!$B$2:$B$18,MATCH(C29,Categorías!$A$2:$A$18,0)),"")</f>
        <v/>
      </c>
      <c r="E29" s="22"/>
    </row>
    <row r="30" spans="1:9" ht="15" customHeight="1" x14ac:dyDescent="0.25">
      <c r="A30" s="19"/>
      <c r="B30" s="20"/>
      <c r="C30" s="20"/>
      <c r="D30" s="21" t="str">
        <f>IFERROR(INDEX(Categorías!$B$2:$B$18,MATCH(C30,Categorías!$A$2:$A$18,0)),"")</f>
        <v/>
      </c>
      <c r="E30" s="22"/>
    </row>
    <row r="31" spans="1:9" ht="15" customHeight="1" x14ac:dyDescent="0.25">
      <c r="A31" s="19"/>
      <c r="B31" s="20"/>
      <c r="C31" s="20"/>
      <c r="D31" s="21" t="str">
        <f>IFERROR(INDEX(Categorías!$B$2:$B$18,MATCH(C31,Categorías!$A$2:$A$18,0)),"")</f>
        <v/>
      </c>
      <c r="E31" s="22"/>
    </row>
    <row r="32" spans="1:9" ht="15" customHeight="1" x14ac:dyDescent="0.25">
      <c r="A32" s="19"/>
      <c r="B32" s="20"/>
      <c r="C32" s="20"/>
      <c r="D32" s="21" t="str">
        <f>IFERROR(INDEX(Categorías!$B$2:$B$18,MATCH(C32,Categorías!$A$2:$A$18,0)),"")</f>
        <v/>
      </c>
      <c r="E32" s="22"/>
    </row>
  </sheetData>
  <mergeCells count="2">
    <mergeCell ref="A1:E1"/>
    <mergeCell ref="G2:H2"/>
  </mergeCells>
  <conditionalFormatting sqref="E3:E32">
    <cfRule type="dataBar" priority="2">
      <dataBar>
        <cfvo type="min"/>
        <cfvo type="max"/>
        <color rgb="FFFC605C"/>
      </dataBar>
      <extLst>
        <ext xmlns:x14="http://schemas.microsoft.com/office/spreadsheetml/2009/9/main" uri="{B025F937-C7B1-47D3-B67F-A62EFF666E3E}">
          <x14:id>{D8F68940-8AAC-465E-8E5A-BBA34EB2849D}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F68940-8AAC-465E-8E5A-BBA34EB2849D}">
            <x14:dataBar axisPosition="none">
              <x14:cfvo type="min"/>
              <x14:cfvo type="max"/>
              <x14:negativeFillColor rgb="FFFC605C"/>
            </x14:dataBar>
          </x14:cfRule>
          <xm:sqref>E3:E32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30" customWidth="1"/>
    <col min="3" max="3" width="20" customWidth="1"/>
    <col min="4" max="4" width="14" customWidth="1"/>
    <col min="5" max="5" width="13" customWidth="1"/>
    <col min="7" max="7" width="20" customWidth="1"/>
    <col min="8" max="8" width="14" customWidth="1"/>
    <col min="9" max="9" width="10" hidden="1" customWidth="1"/>
  </cols>
  <sheetData>
    <row r="1" spans="1:9" ht="21.75" customHeight="1" x14ac:dyDescent="0.25">
      <c r="A1" s="2" t="s">
        <v>69</v>
      </c>
      <c r="B1" s="2"/>
      <c r="C1" s="2"/>
      <c r="D1" s="2"/>
      <c r="E1" s="2"/>
    </row>
    <row r="2" spans="1:9" ht="15" customHeight="1" x14ac:dyDescent="0.25">
      <c r="A2" s="4" t="s">
        <v>54</v>
      </c>
      <c r="B2" s="4" t="s">
        <v>55</v>
      </c>
      <c r="C2" s="4" t="s">
        <v>1</v>
      </c>
      <c r="D2" s="4" t="s">
        <v>2</v>
      </c>
      <c r="E2" s="4" t="s">
        <v>56</v>
      </c>
      <c r="G2" s="1" t="s">
        <v>64</v>
      </c>
      <c r="H2" s="1"/>
    </row>
    <row r="3" spans="1:9" ht="15" customHeight="1" x14ac:dyDescent="0.25">
      <c r="A3" s="19"/>
      <c r="B3" s="20"/>
      <c r="C3" s="20"/>
      <c r="D3" s="21" t="str">
        <f>IFERROR(INDEX(Categorías!$B$2:$B$18,MATCH(C3,Categorías!$A$2:$A$18,0)),"")</f>
        <v/>
      </c>
      <c r="E3" s="22"/>
      <c r="G3" s="5" t="str">
        <f>Categorías!A2</f>
        <v>Videojuegos</v>
      </c>
      <c r="H3" s="23">
        <f t="shared" ref="H3:H19" si="0">SUMIF($C$3:$C$32,G3,$E$3:$E$32)</f>
        <v>0</v>
      </c>
      <c r="I3" s="24" t="str">
        <f>Categorías!B2</f>
        <v>Ocio</v>
      </c>
    </row>
    <row r="4" spans="1:9" ht="15" customHeight="1" x14ac:dyDescent="0.25">
      <c r="A4" s="19"/>
      <c r="B4" s="20"/>
      <c r="C4" s="20"/>
      <c r="D4" s="21" t="str">
        <f>IFERROR(INDEX(Categorías!$B$2:$B$18,MATCH(C4,Categorías!$A$2:$A$18,0)),"")</f>
        <v/>
      </c>
      <c r="E4" s="22"/>
      <c r="G4" s="5" t="str">
        <f>Categorías!A3</f>
        <v>Apuestas</v>
      </c>
      <c r="H4" s="23">
        <f t="shared" si="0"/>
        <v>0</v>
      </c>
      <c r="I4" s="24" t="str">
        <f>Categorías!B3</f>
        <v>Ocio</v>
      </c>
    </row>
    <row r="5" spans="1:9" ht="15" customHeight="1" x14ac:dyDescent="0.25">
      <c r="A5" s="19"/>
      <c r="B5" s="20"/>
      <c r="C5" s="20"/>
      <c r="D5" s="21" t="str">
        <f>IFERROR(INDEX(Categorías!$B$2:$B$18,MATCH(C5,Categorías!$A$2:$A$18,0)),"")</f>
        <v/>
      </c>
      <c r="E5" s="22"/>
      <c r="G5" s="5" t="str">
        <f>Categorías!A4</f>
        <v>Salidas/Ocio</v>
      </c>
      <c r="H5" s="23">
        <f t="shared" si="0"/>
        <v>0</v>
      </c>
      <c r="I5" s="24" t="str">
        <f>Categorías!B4</f>
        <v>Ocio</v>
      </c>
    </row>
    <row r="6" spans="1:9" ht="15" customHeight="1" x14ac:dyDescent="0.25">
      <c r="A6" s="19"/>
      <c r="B6" s="20"/>
      <c r="C6" s="20"/>
      <c r="D6" s="21" t="str">
        <f>IFERROR(INDEX(Categorías!$B$2:$B$18,MATCH(C6,Categorías!$A$2:$A$18,0)),"")</f>
        <v/>
      </c>
      <c r="E6" s="22"/>
      <c r="G6" s="5" t="str">
        <f>Categorías!A5</f>
        <v>Suscripciones ocio</v>
      </c>
      <c r="H6" s="23">
        <f t="shared" si="0"/>
        <v>0</v>
      </c>
      <c r="I6" s="24" t="str">
        <f>Categorías!B5</f>
        <v>Ocio</v>
      </c>
    </row>
    <row r="7" spans="1:9" ht="15" customHeight="1" x14ac:dyDescent="0.25">
      <c r="A7" s="19"/>
      <c r="B7" s="20"/>
      <c r="C7" s="20"/>
      <c r="D7" s="21" t="str">
        <f>IFERROR(INDEX(Categorías!$B$2:$B$18,MATCH(C7,Categorías!$A$2:$A$18,0)),"")</f>
        <v/>
      </c>
      <c r="E7" s="22"/>
      <c r="G7" s="5" t="str">
        <f>Categorías!A6</f>
        <v>Viajes</v>
      </c>
      <c r="H7" s="23">
        <f t="shared" si="0"/>
        <v>0</v>
      </c>
      <c r="I7" s="24" t="str">
        <f>Categorías!B6</f>
        <v>Ocio</v>
      </c>
    </row>
    <row r="8" spans="1:9" ht="15" customHeight="1" x14ac:dyDescent="0.25">
      <c r="A8" s="19"/>
      <c r="B8" s="20"/>
      <c r="C8" s="20"/>
      <c r="D8" s="21" t="str">
        <f>IFERROR(INDEX(Categorías!$B$2:$B$18,MATCH(C8,Categorías!$A$2:$A$18,0)),"")</f>
        <v/>
      </c>
      <c r="E8" s="22"/>
      <c r="G8" s="5" t="str">
        <f>Categorías!A7</f>
        <v>Padel</v>
      </c>
      <c r="H8" s="23">
        <f t="shared" si="0"/>
        <v>0</v>
      </c>
      <c r="I8" s="24" t="str">
        <f>Categorías!B7</f>
        <v>Ocio</v>
      </c>
    </row>
    <row r="9" spans="1:9" ht="15" customHeight="1" x14ac:dyDescent="0.25">
      <c r="A9" s="19"/>
      <c r="B9" s="20"/>
      <c r="C9" s="20"/>
      <c r="D9" s="21" t="str">
        <f>IFERROR(INDEX(Categorías!$B$2:$B$18,MATCH(C9,Categorías!$A$2:$A$18,0)),"")</f>
        <v/>
      </c>
      <c r="E9" s="22"/>
      <c r="G9" s="5" t="str">
        <f>Categorías!A8</f>
        <v>Alimentación</v>
      </c>
      <c r="H9" s="23">
        <f t="shared" si="0"/>
        <v>0</v>
      </c>
      <c r="I9" s="24" t="str">
        <f>Categorías!B8</f>
        <v>Ocio</v>
      </c>
    </row>
    <row r="10" spans="1:9" ht="15" customHeight="1" x14ac:dyDescent="0.25">
      <c r="A10" s="19"/>
      <c r="B10" s="20"/>
      <c r="C10" s="20"/>
      <c r="D10" s="21" t="str">
        <f>IFERROR(INDEX(Categorías!$B$2:$B$18,MATCH(C10,Categorías!$A$2:$A$18,0)),"")</f>
        <v/>
      </c>
      <c r="E10" s="22"/>
      <c r="G10" s="5" t="str">
        <f>Categorías!A9</f>
        <v>Barça</v>
      </c>
      <c r="H10" s="23">
        <f t="shared" si="0"/>
        <v>0</v>
      </c>
      <c r="I10" s="24" t="str">
        <f>Categorías!B9</f>
        <v>Ocio</v>
      </c>
    </row>
    <row r="11" spans="1:9" ht="15" customHeight="1" x14ac:dyDescent="0.25">
      <c r="A11" s="19"/>
      <c r="B11" s="20"/>
      <c r="C11" s="20"/>
      <c r="D11" s="21" t="str">
        <f>IFERROR(INDEX(Categorías!$B$2:$B$18,MATCH(C11,Categorías!$A$2:$A$18,0)),"")</f>
        <v/>
      </c>
      <c r="E11" s="22"/>
      <c r="G11" s="5" t="str">
        <f>Categorías!A10</f>
        <v>Vivienda/Alquiler</v>
      </c>
      <c r="H11" s="23">
        <f t="shared" si="0"/>
        <v>0</v>
      </c>
      <c r="I11" s="24" t="str">
        <f>Categorías!B10</f>
        <v>Ordinario</v>
      </c>
    </row>
    <row r="12" spans="1:9" ht="15" customHeight="1" x14ac:dyDescent="0.25">
      <c r="A12" s="19"/>
      <c r="B12" s="20"/>
      <c r="C12" s="20"/>
      <c r="D12" s="21" t="str">
        <f>IFERROR(INDEX(Categorías!$B$2:$B$18,MATCH(C12,Categorías!$A$2:$A$18,0)),"")</f>
        <v/>
      </c>
      <c r="E12" s="22"/>
      <c r="G12" s="5" t="str">
        <f>Categorías!A11</f>
        <v>Transporte</v>
      </c>
      <c r="H12" s="23">
        <f t="shared" si="0"/>
        <v>0</v>
      </c>
      <c r="I12" s="24" t="str">
        <f>Categorías!B11</f>
        <v>Ordinario</v>
      </c>
    </row>
    <row r="13" spans="1:9" ht="15" customHeight="1" x14ac:dyDescent="0.25">
      <c r="A13" s="19"/>
      <c r="B13" s="20"/>
      <c r="C13" s="20"/>
      <c r="D13" s="21" t="str">
        <f>IFERROR(INDEX(Categorías!$B$2:$B$18,MATCH(C13,Categorías!$A$2:$A$18,0)),"")</f>
        <v/>
      </c>
      <c r="E13" s="22"/>
      <c r="G13" s="5" t="str">
        <f>Categorías!A12</f>
        <v>Salud</v>
      </c>
      <c r="H13" s="23">
        <f t="shared" si="0"/>
        <v>0</v>
      </c>
      <c r="I13" s="24" t="str">
        <f>Categorías!B12</f>
        <v>Ordinario</v>
      </c>
    </row>
    <row r="14" spans="1:9" ht="15" customHeight="1" x14ac:dyDescent="0.25">
      <c r="A14" s="19"/>
      <c r="B14" s="20"/>
      <c r="C14" s="20"/>
      <c r="D14" s="21" t="str">
        <f>IFERROR(INDEX(Categorías!$B$2:$B$18,MATCH(C14,Categorías!$A$2:$A$18,0)),"")</f>
        <v/>
      </c>
      <c r="E14" s="22"/>
      <c r="G14" s="5" t="str">
        <f>Categorías!A13</f>
        <v>Barbero</v>
      </c>
      <c r="H14" s="23">
        <f t="shared" si="0"/>
        <v>0</v>
      </c>
      <c r="I14" s="24" t="str">
        <f>Categorías!B13</f>
        <v>Ordinario</v>
      </c>
    </row>
    <row r="15" spans="1:9" ht="15" customHeight="1" x14ac:dyDescent="0.25">
      <c r="A15" s="19"/>
      <c r="B15" s="20"/>
      <c r="C15" s="20"/>
      <c r="D15" s="21" t="str">
        <f>IFERROR(INDEX(Categorías!$B$2:$B$18,MATCH(C15,Categorías!$A$2:$A$18,0)),"")</f>
        <v/>
      </c>
      <c r="E15" s="22"/>
      <c r="G15" s="5" t="str">
        <f>Categorías!A14</f>
        <v>Otros</v>
      </c>
      <c r="H15" s="23">
        <f t="shared" si="0"/>
        <v>0</v>
      </c>
      <c r="I15" s="24" t="str">
        <f>Categorías!B14</f>
        <v>Ordinario</v>
      </c>
    </row>
    <row r="16" spans="1:9" ht="15" customHeight="1" x14ac:dyDescent="0.25">
      <c r="A16" s="19"/>
      <c r="B16" s="20"/>
      <c r="C16" s="20"/>
      <c r="D16" s="21" t="str">
        <f>IFERROR(INDEX(Categorías!$B$2:$B$18,MATCH(C16,Categorías!$A$2:$A$18,0)),"")</f>
        <v/>
      </c>
      <c r="E16" s="22"/>
      <c r="G16" s="5" t="str">
        <f>Categorías!A15</f>
        <v>Burocracia</v>
      </c>
      <c r="H16" s="23">
        <f t="shared" si="0"/>
        <v>0</v>
      </c>
      <c r="I16" s="24" t="str">
        <f>Categorías!B15</f>
        <v>Extraordinario Inevitable</v>
      </c>
    </row>
    <row r="17" spans="1:9" ht="15" customHeight="1" x14ac:dyDescent="0.25">
      <c r="A17" s="19"/>
      <c r="B17" s="20"/>
      <c r="C17" s="20"/>
      <c r="D17" s="21" t="str">
        <f>IFERROR(INDEX(Categorías!$B$2:$B$18,MATCH(C17,Categorías!$A$2:$A$18,0)),"")</f>
        <v/>
      </c>
      <c r="E17" s="22"/>
      <c r="G17" s="25" t="str">
        <f>Categorías!A16</f>
        <v>Regalos</v>
      </c>
      <c r="H17" s="26">
        <f t="shared" si="0"/>
        <v>0</v>
      </c>
      <c r="I17" s="24" t="str">
        <f>Categorías!B16</f>
        <v>Extraordinario Evitable</v>
      </c>
    </row>
    <row r="18" spans="1:9" ht="15" customHeight="1" x14ac:dyDescent="0.25">
      <c r="A18" s="19"/>
      <c r="B18" s="20"/>
      <c r="C18" s="20"/>
      <c r="D18" s="21" t="str">
        <f>IFERROR(INDEX(Categorías!$B$2:$B$18,MATCH(C18,Categorías!$A$2:$A$18,0)),"")</f>
        <v/>
      </c>
      <c r="E18" s="22"/>
      <c r="G18" t="str">
        <f>Categorías!A17</f>
        <v>Multas</v>
      </c>
      <c r="H18" s="15">
        <f t="shared" si="0"/>
        <v>0</v>
      </c>
      <c r="I18" t="str">
        <f>Categorías!B17</f>
        <v>Extraordinario Evitable</v>
      </c>
    </row>
    <row r="19" spans="1:9" ht="15" customHeight="1" x14ac:dyDescent="0.25">
      <c r="A19" s="19"/>
      <c r="B19" s="20"/>
      <c r="C19" s="20"/>
      <c r="D19" s="21" t="str">
        <f>IFERROR(INDEX(Categorías!$B$2:$B$18,MATCH(C19,Categorías!$A$2:$A$18,0)),"")</f>
        <v/>
      </c>
      <c r="E19" s="22"/>
      <c r="G19" t="str">
        <f>Categorías!A18</f>
        <v>Otros extraordinarios</v>
      </c>
      <c r="H19" s="15">
        <f t="shared" si="0"/>
        <v>0</v>
      </c>
      <c r="I19" t="str">
        <f>Categorías!B18</f>
        <v>Extraordinario Inevitable</v>
      </c>
    </row>
    <row r="20" spans="1:9" ht="15" customHeight="1" x14ac:dyDescent="0.25">
      <c r="A20" s="19"/>
      <c r="B20" s="20"/>
      <c r="C20" s="20"/>
      <c r="D20" s="21" t="str">
        <f>IFERROR(INDEX(Categorías!$B$2:$B$18,MATCH(C20,Categorías!$A$2:$A$18,0)),"")</f>
        <v/>
      </c>
      <c r="E20" s="22"/>
      <c r="G20" s="11"/>
      <c r="H20" s="27"/>
    </row>
    <row r="21" spans="1:9" ht="15" customHeight="1" x14ac:dyDescent="0.25">
      <c r="A21" s="19"/>
      <c r="B21" s="20"/>
      <c r="C21" s="20"/>
      <c r="D21" s="21" t="str">
        <f>IFERROR(INDEX(Categorías!$B$2:$B$18,MATCH(C21,Categorías!$A$2:$A$18,0)),"")</f>
        <v/>
      </c>
      <c r="E21" s="22"/>
      <c r="G21" s="11" t="s">
        <v>35</v>
      </c>
      <c r="H21" s="27">
        <f>SUMIF($I$3:$I$19,"Ocio",$H$3:$H$19)</f>
        <v>0</v>
      </c>
    </row>
    <row r="22" spans="1:9" ht="15" customHeight="1" x14ac:dyDescent="0.25">
      <c r="A22" s="19"/>
      <c r="B22" s="20"/>
      <c r="C22" s="20"/>
      <c r="D22" s="21" t="str">
        <f>IFERROR(INDEX(Categorías!$B$2:$B$18,MATCH(C22,Categorías!$A$2:$A$18,0)),"")</f>
        <v/>
      </c>
      <c r="E22" s="22"/>
      <c r="G22" s="11" t="s">
        <v>36</v>
      </c>
      <c r="H22" s="27">
        <f>SUMIF($I$3:$I$19,"Ordinario",$H$3:$H$19)</f>
        <v>0</v>
      </c>
    </row>
    <row r="23" spans="1:9" ht="15" customHeight="1" x14ac:dyDescent="0.25">
      <c r="A23" s="19"/>
      <c r="B23" s="20"/>
      <c r="C23" s="20"/>
      <c r="D23" s="21" t="str">
        <f>IFERROR(INDEX(Categorías!$B$2:$B$18,MATCH(C23,Categorías!$A$2:$A$18,0)),"")</f>
        <v/>
      </c>
      <c r="E23" s="22"/>
      <c r="G23" s="11" t="s">
        <v>37</v>
      </c>
      <c r="H23" s="27">
        <f>SUMIF($I$3:$I$19,"Extraordinario*",$H$3:$H$19)</f>
        <v>0</v>
      </c>
    </row>
    <row r="24" spans="1:9" ht="15" customHeight="1" x14ac:dyDescent="0.25">
      <c r="A24" s="19"/>
      <c r="B24" s="20"/>
      <c r="C24" s="20"/>
      <c r="D24" s="21" t="str">
        <f>IFERROR(INDEX(Categorías!$B$2:$B$18,MATCH(C24,Categorías!$A$2:$A$18,0)),"")</f>
        <v/>
      </c>
      <c r="E24" s="22"/>
      <c r="G24" s="11" t="s">
        <v>38</v>
      </c>
      <c r="H24" s="27">
        <f>SUMIF($I$3:$I$19,"Extraordinario Evitable",$H$3:$H$19)</f>
        <v>0</v>
      </c>
    </row>
    <row r="25" spans="1:9" ht="15" customHeight="1" x14ac:dyDescent="0.25">
      <c r="A25" s="19"/>
      <c r="B25" s="20"/>
      <c r="C25" s="20"/>
      <c r="D25" s="21" t="str">
        <f>IFERROR(INDEX(Categorías!$B$2:$B$18,MATCH(C25,Categorías!$A$2:$A$18,0)),"")</f>
        <v/>
      </c>
      <c r="E25" s="22"/>
      <c r="G25" s="11" t="s">
        <v>39</v>
      </c>
      <c r="H25" s="27">
        <f>SUMIF($I$3:$I$19,"Extraordinario Inevitable",$H$3:$H$19)</f>
        <v>0</v>
      </c>
    </row>
    <row r="26" spans="1:9" ht="15" customHeight="1" x14ac:dyDescent="0.25">
      <c r="A26" s="19"/>
      <c r="B26" s="20"/>
      <c r="C26" s="20"/>
      <c r="D26" s="21" t="str">
        <f>IFERROR(INDEX(Categorías!$B$2:$B$18,MATCH(C26,Categorías!$A$2:$A$18,0)),"")</f>
        <v/>
      </c>
      <c r="E26" s="22"/>
      <c r="G26" s="11" t="s">
        <v>65</v>
      </c>
      <c r="H26" s="27">
        <f>SUM($E$3:$E$32)</f>
        <v>0</v>
      </c>
    </row>
    <row r="27" spans="1:9" ht="15" customHeight="1" x14ac:dyDescent="0.25">
      <c r="A27" s="19"/>
      <c r="B27" s="20"/>
      <c r="C27" s="20"/>
      <c r="D27" s="21" t="str">
        <f>IFERROR(INDEX(Categorías!$B$2:$B$18,MATCH(C27,Categorías!$A$2:$A$18,0)),"")</f>
        <v/>
      </c>
      <c r="E27" s="22"/>
    </row>
    <row r="28" spans="1:9" ht="15" customHeight="1" x14ac:dyDescent="0.25">
      <c r="A28" s="19"/>
      <c r="B28" s="20"/>
      <c r="C28" s="20"/>
      <c r="D28" s="21" t="str">
        <f>IFERROR(INDEX(Categorías!$B$2:$B$18,MATCH(C28,Categorías!$A$2:$A$18,0)),"")</f>
        <v/>
      </c>
      <c r="E28" s="22"/>
    </row>
    <row r="29" spans="1:9" ht="15" customHeight="1" x14ac:dyDescent="0.25">
      <c r="A29" s="19"/>
      <c r="B29" s="20"/>
      <c r="C29" s="20"/>
      <c r="D29" s="21" t="str">
        <f>IFERROR(INDEX(Categorías!$B$2:$B$18,MATCH(C29,Categorías!$A$2:$A$18,0)),"")</f>
        <v/>
      </c>
      <c r="E29" s="22"/>
    </row>
    <row r="30" spans="1:9" ht="15" customHeight="1" x14ac:dyDescent="0.25">
      <c r="A30" s="19"/>
      <c r="B30" s="20"/>
      <c r="C30" s="20"/>
      <c r="D30" s="21" t="str">
        <f>IFERROR(INDEX(Categorías!$B$2:$B$18,MATCH(C30,Categorías!$A$2:$A$18,0)),"")</f>
        <v/>
      </c>
      <c r="E30" s="22"/>
    </row>
    <row r="31" spans="1:9" ht="15" customHeight="1" x14ac:dyDescent="0.25">
      <c r="A31" s="19"/>
      <c r="B31" s="20"/>
      <c r="C31" s="20"/>
      <c r="D31" s="21" t="str">
        <f>IFERROR(INDEX(Categorías!$B$2:$B$18,MATCH(C31,Categorías!$A$2:$A$18,0)),"")</f>
        <v/>
      </c>
      <c r="E31" s="22"/>
    </row>
    <row r="32" spans="1:9" ht="15" customHeight="1" x14ac:dyDescent="0.25">
      <c r="A32" s="19"/>
      <c r="B32" s="20"/>
      <c r="C32" s="20"/>
      <c r="D32" s="21" t="str">
        <f>IFERROR(INDEX(Categorías!$B$2:$B$18,MATCH(C32,Categorías!$A$2:$A$18,0)),"")</f>
        <v/>
      </c>
      <c r="E32" s="22"/>
    </row>
  </sheetData>
  <mergeCells count="2">
    <mergeCell ref="A1:E1"/>
    <mergeCell ref="G2:H2"/>
  </mergeCells>
  <conditionalFormatting sqref="E3:E32">
    <cfRule type="dataBar" priority="2">
      <dataBar>
        <cfvo type="min"/>
        <cfvo type="max"/>
        <color rgb="FFFC605C"/>
      </dataBar>
      <extLst>
        <ext xmlns:x14="http://schemas.microsoft.com/office/spreadsheetml/2009/9/main" uri="{B025F937-C7B1-47D3-B67F-A62EFF666E3E}">
          <x14:id>{C573A058-6672-49D0-9FCE-1C337B74D967}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73A058-6672-49D0-9FCE-1C337B74D967}">
            <x14:dataBar axisPosition="none">
              <x14:cfvo type="min"/>
              <x14:cfvo type="max"/>
              <x14:negativeFillColor rgb="FFFC605C"/>
            </x14:dataBar>
          </x14:cfRule>
          <xm:sqref>E3:E32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30" customWidth="1"/>
    <col min="3" max="3" width="20" customWidth="1"/>
    <col min="4" max="4" width="14" customWidth="1"/>
    <col min="5" max="5" width="13" customWidth="1"/>
    <col min="7" max="7" width="20" customWidth="1"/>
    <col min="8" max="8" width="14" customWidth="1"/>
    <col min="9" max="9" width="10" hidden="1" customWidth="1"/>
  </cols>
  <sheetData>
    <row r="1" spans="1:9" ht="21.75" customHeight="1" x14ac:dyDescent="0.25">
      <c r="A1" s="2" t="s">
        <v>70</v>
      </c>
      <c r="B1" s="2"/>
      <c r="C1" s="2"/>
      <c r="D1" s="2"/>
      <c r="E1" s="2"/>
    </row>
    <row r="2" spans="1:9" ht="15" customHeight="1" x14ac:dyDescent="0.25">
      <c r="A2" s="4" t="s">
        <v>54</v>
      </c>
      <c r="B2" s="4" t="s">
        <v>55</v>
      </c>
      <c r="C2" s="4" t="s">
        <v>1</v>
      </c>
      <c r="D2" s="4" t="s">
        <v>2</v>
      </c>
      <c r="E2" s="4" t="s">
        <v>56</v>
      </c>
      <c r="G2" s="1" t="s">
        <v>64</v>
      </c>
      <c r="H2" s="1"/>
    </row>
    <row r="3" spans="1:9" ht="15" customHeight="1" x14ac:dyDescent="0.25">
      <c r="A3" s="19"/>
      <c r="B3" s="20"/>
      <c r="C3" s="20"/>
      <c r="D3" s="21" t="str">
        <f>IFERROR(INDEX(Categorías!$B$2:$B$18,MATCH(C3,Categorías!$A$2:$A$18,0)),"")</f>
        <v/>
      </c>
      <c r="E3" s="22"/>
      <c r="G3" s="5" t="str">
        <f>Categorías!A2</f>
        <v>Videojuegos</v>
      </c>
      <c r="H3" s="23">
        <f t="shared" ref="H3:H19" si="0">SUMIF($C$3:$C$32,G3,$E$3:$E$32)</f>
        <v>0</v>
      </c>
      <c r="I3" s="24" t="str">
        <f>Categorías!B2</f>
        <v>Ocio</v>
      </c>
    </row>
    <row r="4" spans="1:9" ht="15" customHeight="1" x14ac:dyDescent="0.25">
      <c r="A4" s="19"/>
      <c r="B4" s="20"/>
      <c r="C4" s="20"/>
      <c r="D4" s="21" t="str">
        <f>IFERROR(INDEX(Categorías!$B$2:$B$18,MATCH(C4,Categorías!$A$2:$A$18,0)),"")</f>
        <v/>
      </c>
      <c r="E4" s="22"/>
      <c r="G4" s="5" t="str">
        <f>Categorías!A3</f>
        <v>Apuestas</v>
      </c>
      <c r="H4" s="23">
        <f t="shared" si="0"/>
        <v>0</v>
      </c>
      <c r="I4" s="24" t="str">
        <f>Categorías!B3</f>
        <v>Ocio</v>
      </c>
    </row>
    <row r="5" spans="1:9" ht="15" customHeight="1" x14ac:dyDescent="0.25">
      <c r="A5" s="19"/>
      <c r="B5" s="20"/>
      <c r="C5" s="20"/>
      <c r="D5" s="21" t="str">
        <f>IFERROR(INDEX(Categorías!$B$2:$B$18,MATCH(C5,Categorías!$A$2:$A$18,0)),"")</f>
        <v/>
      </c>
      <c r="E5" s="22"/>
      <c r="G5" s="5" t="str">
        <f>Categorías!A4</f>
        <v>Salidas/Ocio</v>
      </c>
      <c r="H5" s="23">
        <f t="shared" si="0"/>
        <v>0</v>
      </c>
      <c r="I5" s="24" t="str">
        <f>Categorías!B4</f>
        <v>Ocio</v>
      </c>
    </row>
    <row r="6" spans="1:9" ht="15" customHeight="1" x14ac:dyDescent="0.25">
      <c r="A6" s="19"/>
      <c r="B6" s="20"/>
      <c r="C6" s="20"/>
      <c r="D6" s="21" t="str">
        <f>IFERROR(INDEX(Categorías!$B$2:$B$18,MATCH(C6,Categorías!$A$2:$A$18,0)),"")</f>
        <v/>
      </c>
      <c r="E6" s="22"/>
      <c r="G6" s="5" t="str">
        <f>Categorías!A5</f>
        <v>Suscripciones ocio</v>
      </c>
      <c r="H6" s="23">
        <f t="shared" si="0"/>
        <v>0</v>
      </c>
      <c r="I6" s="24" t="str">
        <f>Categorías!B5</f>
        <v>Ocio</v>
      </c>
    </row>
    <row r="7" spans="1:9" ht="15" customHeight="1" x14ac:dyDescent="0.25">
      <c r="A7" s="19"/>
      <c r="B7" s="20"/>
      <c r="C7" s="20"/>
      <c r="D7" s="21" t="str">
        <f>IFERROR(INDEX(Categorías!$B$2:$B$18,MATCH(C7,Categorías!$A$2:$A$18,0)),"")</f>
        <v/>
      </c>
      <c r="E7" s="22"/>
      <c r="G7" s="5" t="str">
        <f>Categorías!A6</f>
        <v>Viajes</v>
      </c>
      <c r="H7" s="23">
        <f t="shared" si="0"/>
        <v>0</v>
      </c>
      <c r="I7" s="24" t="str">
        <f>Categorías!B6</f>
        <v>Ocio</v>
      </c>
    </row>
    <row r="8" spans="1:9" ht="15" customHeight="1" x14ac:dyDescent="0.25">
      <c r="A8" s="19"/>
      <c r="B8" s="20"/>
      <c r="C8" s="20"/>
      <c r="D8" s="21" t="str">
        <f>IFERROR(INDEX(Categorías!$B$2:$B$18,MATCH(C8,Categorías!$A$2:$A$18,0)),"")</f>
        <v/>
      </c>
      <c r="E8" s="22"/>
      <c r="G8" s="5" t="str">
        <f>Categorías!A7</f>
        <v>Padel</v>
      </c>
      <c r="H8" s="23">
        <f t="shared" si="0"/>
        <v>0</v>
      </c>
      <c r="I8" s="24" t="str">
        <f>Categorías!B7</f>
        <v>Ocio</v>
      </c>
    </row>
    <row r="9" spans="1:9" ht="15" customHeight="1" x14ac:dyDescent="0.25">
      <c r="A9" s="19"/>
      <c r="B9" s="20"/>
      <c r="C9" s="20"/>
      <c r="D9" s="21" t="str">
        <f>IFERROR(INDEX(Categorías!$B$2:$B$18,MATCH(C9,Categorías!$A$2:$A$18,0)),"")</f>
        <v/>
      </c>
      <c r="E9" s="22"/>
      <c r="G9" s="5" t="str">
        <f>Categorías!A8</f>
        <v>Alimentación</v>
      </c>
      <c r="H9" s="23">
        <f t="shared" si="0"/>
        <v>0</v>
      </c>
      <c r="I9" s="24" t="str">
        <f>Categorías!B8</f>
        <v>Ocio</v>
      </c>
    </row>
    <row r="10" spans="1:9" ht="15" customHeight="1" x14ac:dyDescent="0.25">
      <c r="A10" s="19"/>
      <c r="B10" s="20"/>
      <c r="C10" s="20"/>
      <c r="D10" s="21" t="str">
        <f>IFERROR(INDEX(Categorías!$B$2:$B$18,MATCH(C10,Categorías!$A$2:$A$18,0)),"")</f>
        <v/>
      </c>
      <c r="E10" s="22"/>
      <c r="G10" s="5" t="str">
        <f>Categorías!A9</f>
        <v>Barça</v>
      </c>
      <c r="H10" s="23">
        <f t="shared" si="0"/>
        <v>0</v>
      </c>
      <c r="I10" s="24" t="str">
        <f>Categorías!B9</f>
        <v>Ocio</v>
      </c>
    </row>
    <row r="11" spans="1:9" ht="15" customHeight="1" x14ac:dyDescent="0.25">
      <c r="A11" s="19"/>
      <c r="B11" s="20"/>
      <c r="C11" s="20"/>
      <c r="D11" s="21" t="str">
        <f>IFERROR(INDEX(Categorías!$B$2:$B$18,MATCH(C11,Categorías!$A$2:$A$18,0)),"")</f>
        <v/>
      </c>
      <c r="E11" s="22"/>
      <c r="G11" s="5" t="str">
        <f>Categorías!A10</f>
        <v>Vivienda/Alquiler</v>
      </c>
      <c r="H11" s="23">
        <f t="shared" si="0"/>
        <v>0</v>
      </c>
      <c r="I11" s="24" t="str">
        <f>Categorías!B10</f>
        <v>Ordinario</v>
      </c>
    </row>
    <row r="12" spans="1:9" ht="15" customHeight="1" x14ac:dyDescent="0.25">
      <c r="A12" s="19"/>
      <c r="B12" s="20"/>
      <c r="C12" s="20"/>
      <c r="D12" s="21" t="str">
        <f>IFERROR(INDEX(Categorías!$B$2:$B$18,MATCH(C12,Categorías!$A$2:$A$18,0)),"")</f>
        <v/>
      </c>
      <c r="E12" s="22"/>
      <c r="G12" s="5" t="str">
        <f>Categorías!A11</f>
        <v>Transporte</v>
      </c>
      <c r="H12" s="23">
        <f t="shared" si="0"/>
        <v>0</v>
      </c>
      <c r="I12" s="24" t="str">
        <f>Categorías!B11</f>
        <v>Ordinario</v>
      </c>
    </row>
    <row r="13" spans="1:9" ht="15" customHeight="1" x14ac:dyDescent="0.25">
      <c r="A13" s="19"/>
      <c r="B13" s="20"/>
      <c r="C13" s="20"/>
      <c r="D13" s="21" t="str">
        <f>IFERROR(INDEX(Categorías!$B$2:$B$18,MATCH(C13,Categorías!$A$2:$A$18,0)),"")</f>
        <v/>
      </c>
      <c r="E13" s="22"/>
      <c r="G13" s="5" t="str">
        <f>Categorías!A12</f>
        <v>Salud</v>
      </c>
      <c r="H13" s="23">
        <f t="shared" si="0"/>
        <v>0</v>
      </c>
      <c r="I13" s="24" t="str">
        <f>Categorías!B12</f>
        <v>Ordinario</v>
      </c>
    </row>
    <row r="14" spans="1:9" ht="15" customHeight="1" x14ac:dyDescent="0.25">
      <c r="A14" s="19"/>
      <c r="B14" s="20"/>
      <c r="C14" s="20"/>
      <c r="D14" s="21" t="str">
        <f>IFERROR(INDEX(Categorías!$B$2:$B$18,MATCH(C14,Categorías!$A$2:$A$18,0)),"")</f>
        <v/>
      </c>
      <c r="E14" s="22"/>
      <c r="G14" s="5" t="str">
        <f>Categorías!A13</f>
        <v>Barbero</v>
      </c>
      <c r="H14" s="23">
        <f t="shared" si="0"/>
        <v>0</v>
      </c>
      <c r="I14" s="24" t="str">
        <f>Categorías!B13</f>
        <v>Ordinario</v>
      </c>
    </row>
    <row r="15" spans="1:9" ht="15" customHeight="1" x14ac:dyDescent="0.25">
      <c r="A15" s="19"/>
      <c r="B15" s="20"/>
      <c r="C15" s="20"/>
      <c r="D15" s="21" t="str">
        <f>IFERROR(INDEX(Categorías!$B$2:$B$18,MATCH(C15,Categorías!$A$2:$A$18,0)),"")</f>
        <v/>
      </c>
      <c r="E15" s="22"/>
      <c r="G15" s="5" t="str">
        <f>Categorías!A14</f>
        <v>Otros</v>
      </c>
      <c r="H15" s="23">
        <f t="shared" si="0"/>
        <v>0</v>
      </c>
      <c r="I15" s="24" t="str">
        <f>Categorías!B14</f>
        <v>Ordinario</v>
      </c>
    </row>
    <row r="16" spans="1:9" ht="15" customHeight="1" x14ac:dyDescent="0.25">
      <c r="A16" s="19"/>
      <c r="B16" s="20"/>
      <c r="C16" s="20"/>
      <c r="D16" s="21" t="str">
        <f>IFERROR(INDEX(Categorías!$B$2:$B$18,MATCH(C16,Categorías!$A$2:$A$18,0)),"")</f>
        <v/>
      </c>
      <c r="E16" s="22"/>
      <c r="G16" s="5" t="str">
        <f>Categorías!A15</f>
        <v>Burocracia</v>
      </c>
      <c r="H16" s="23">
        <f t="shared" si="0"/>
        <v>0</v>
      </c>
      <c r="I16" s="24" t="str">
        <f>Categorías!B15</f>
        <v>Extraordinario Inevitable</v>
      </c>
    </row>
    <row r="17" spans="1:9" ht="15" customHeight="1" x14ac:dyDescent="0.25">
      <c r="A17" s="19"/>
      <c r="B17" s="20"/>
      <c r="C17" s="20"/>
      <c r="D17" s="21" t="str">
        <f>IFERROR(INDEX(Categorías!$B$2:$B$18,MATCH(C17,Categorías!$A$2:$A$18,0)),"")</f>
        <v/>
      </c>
      <c r="E17" s="22"/>
      <c r="G17" s="25" t="str">
        <f>Categorías!A16</f>
        <v>Regalos</v>
      </c>
      <c r="H17" s="26">
        <f t="shared" si="0"/>
        <v>0</v>
      </c>
      <c r="I17" s="24" t="str">
        <f>Categorías!B16</f>
        <v>Extraordinario Evitable</v>
      </c>
    </row>
    <row r="18" spans="1:9" ht="15" customHeight="1" x14ac:dyDescent="0.25">
      <c r="A18" s="19"/>
      <c r="B18" s="20"/>
      <c r="C18" s="20"/>
      <c r="D18" s="21" t="str">
        <f>IFERROR(INDEX(Categorías!$B$2:$B$18,MATCH(C18,Categorías!$A$2:$A$18,0)),"")</f>
        <v/>
      </c>
      <c r="E18" s="22"/>
      <c r="G18" t="str">
        <f>Categorías!A17</f>
        <v>Multas</v>
      </c>
      <c r="H18" s="15">
        <f t="shared" si="0"/>
        <v>0</v>
      </c>
      <c r="I18" t="str">
        <f>Categorías!B17</f>
        <v>Extraordinario Evitable</v>
      </c>
    </row>
    <row r="19" spans="1:9" ht="15" customHeight="1" x14ac:dyDescent="0.25">
      <c r="A19" s="19"/>
      <c r="B19" s="20"/>
      <c r="C19" s="20"/>
      <c r="D19" s="21" t="str">
        <f>IFERROR(INDEX(Categorías!$B$2:$B$18,MATCH(C19,Categorías!$A$2:$A$18,0)),"")</f>
        <v/>
      </c>
      <c r="E19" s="22"/>
      <c r="G19" t="str">
        <f>Categorías!A18</f>
        <v>Otros extraordinarios</v>
      </c>
      <c r="H19" s="15">
        <f t="shared" si="0"/>
        <v>0</v>
      </c>
      <c r="I19" t="str">
        <f>Categorías!B18</f>
        <v>Extraordinario Inevitable</v>
      </c>
    </row>
    <row r="20" spans="1:9" ht="15" customHeight="1" x14ac:dyDescent="0.25">
      <c r="A20" s="19"/>
      <c r="B20" s="20"/>
      <c r="C20" s="20"/>
      <c r="D20" s="21" t="str">
        <f>IFERROR(INDEX(Categorías!$B$2:$B$18,MATCH(C20,Categorías!$A$2:$A$18,0)),"")</f>
        <v/>
      </c>
      <c r="E20" s="22"/>
      <c r="G20" s="11"/>
      <c r="H20" s="27"/>
    </row>
    <row r="21" spans="1:9" ht="15" customHeight="1" x14ac:dyDescent="0.25">
      <c r="A21" s="19"/>
      <c r="B21" s="20"/>
      <c r="C21" s="20"/>
      <c r="D21" s="21" t="str">
        <f>IFERROR(INDEX(Categorías!$B$2:$B$18,MATCH(C21,Categorías!$A$2:$A$18,0)),"")</f>
        <v/>
      </c>
      <c r="E21" s="22"/>
      <c r="G21" s="11" t="s">
        <v>35</v>
      </c>
      <c r="H21" s="27">
        <f>SUMIF($I$3:$I$19,"Ocio",$H$3:$H$19)</f>
        <v>0</v>
      </c>
    </row>
    <row r="22" spans="1:9" ht="15" customHeight="1" x14ac:dyDescent="0.25">
      <c r="A22" s="19"/>
      <c r="B22" s="20"/>
      <c r="C22" s="20"/>
      <c r="D22" s="21" t="str">
        <f>IFERROR(INDEX(Categorías!$B$2:$B$18,MATCH(C22,Categorías!$A$2:$A$18,0)),"")</f>
        <v/>
      </c>
      <c r="E22" s="22"/>
      <c r="G22" s="11" t="s">
        <v>36</v>
      </c>
      <c r="H22" s="27">
        <f>SUMIF($I$3:$I$19,"Ordinario",$H$3:$H$19)</f>
        <v>0</v>
      </c>
    </row>
    <row r="23" spans="1:9" ht="15" customHeight="1" x14ac:dyDescent="0.25">
      <c r="A23" s="19"/>
      <c r="B23" s="20"/>
      <c r="C23" s="20"/>
      <c r="D23" s="21" t="str">
        <f>IFERROR(INDEX(Categorías!$B$2:$B$18,MATCH(C23,Categorías!$A$2:$A$18,0)),"")</f>
        <v/>
      </c>
      <c r="E23" s="22"/>
      <c r="G23" s="11" t="s">
        <v>37</v>
      </c>
      <c r="H23" s="27">
        <f>SUMIF($I$3:$I$19,"Extraordinario*",$H$3:$H$19)</f>
        <v>0</v>
      </c>
    </row>
    <row r="24" spans="1:9" ht="15" customHeight="1" x14ac:dyDescent="0.25">
      <c r="A24" s="19"/>
      <c r="B24" s="20"/>
      <c r="C24" s="20"/>
      <c r="D24" s="21" t="str">
        <f>IFERROR(INDEX(Categorías!$B$2:$B$18,MATCH(C24,Categorías!$A$2:$A$18,0)),"")</f>
        <v/>
      </c>
      <c r="E24" s="22"/>
      <c r="G24" s="11" t="s">
        <v>38</v>
      </c>
      <c r="H24" s="27">
        <f>SUMIF($I$3:$I$19,"Extraordinario Evitable",$H$3:$H$19)</f>
        <v>0</v>
      </c>
    </row>
    <row r="25" spans="1:9" ht="15" customHeight="1" x14ac:dyDescent="0.25">
      <c r="A25" s="19"/>
      <c r="B25" s="20"/>
      <c r="C25" s="20"/>
      <c r="D25" s="21" t="str">
        <f>IFERROR(INDEX(Categorías!$B$2:$B$18,MATCH(C25,Categorías!$A$2:$A$18,0)),"")</f>
        <v/>
      </c>
      <c r="E25" s="22"/>
      <c r="G25" s="11" t="s">
        <v>39</v>
      </c>
      <c r="H25" s="27">
        <f>SUMIF($I$3:$I$19,"Extraordinario Inevitable",$H$3:$H$19)</f>
        <v>0</v>
      </c>
    </row>
    <row r="26" spans="1:9" ht="15" customHeight="1" x14ac:dyDescent="0.25">
      <c r="A26" s="19"/>
      <c r="B26" s="20"/>
      <c r="C26" s="20"/>
      <c r="D26" s="21" t="str">
        <f>IFERROR(INDEX(Categorías!$B$2:$B$18,MATCH(C26,Categorías!$A$2:$A$18,0)),"")</f>
        <v/>
      </c>
      <c r="E26" s="22"/>
      <c r="G26" s="11" t="s">
        <v>65</v>
      </c>
      <c r="H26" s="27">
        <f>SUM($E$3:$E$32)</f>
        <v>0</v>
      </c>
    </row>
    <row r="27" spans="1:9" ht="15" customHeight="1" x14ac:dyDescent="0.25">
      <c r="A27" s="19"/>
      <c r="B27" s="20"/>
      <c r="C27" s="20"/>
      <c r="D27" s="21" t="str">
        <f>IFERROR(INDEX(Categorías!$B$2:$B$18,MATCH(C27,Categorías!$A$2:$A$18,0)),"")</f>
        <v/>
      </c>
      <c r="E27" s="22"/>
    </row>
    <row r="28" spans="1:9" ht="15" customHeight="1" x14ac:dyDescent="0.25">
      <c r="A28" s="19"/>
      <c r="B28" s="20"/>
      <c r="C28" s="20"/>
      <c r="D28" s="21" t="str">
        <f>IFERROR(INDEX(Categorías!$B$2:$B$18,MATCH(C28,Categorías!$A$2:$A$18,0)),"")</f>
        <v/>
      </c>
      <c r="E28" s="22"/>
    </row>
    <row r="29" spans="1:9" ht="15" customHeight="1" x14ac:dyDescent="0.25">
      <c r="A29" s="19"/>
      <c r="B29" s="20"/>
      <c r="C29" s="20"/>
      <c r="D29" s="21" t="str">
        <f>IFERROR(INDEX(Categorías!$B$2:$B$18,MATCH(C29,Categorías!$A$2:$A$18,0)),"")</f>
        <v/>
      </c>
      <c r="E29" s="22"/>
    </row>
    <row r="30" spans="1:9" ht="15" customHeight="1" x14ac:dyDescent="0.25">
      <c r="A30" s="19"/>
      <c r="B30" s="20"/>
      <c r="C30" s="20"/>
      <c r="D30" s="21" t="str">
        <f>IFERROR(INDEX(Categorías!$B$2:$B$18,MATCH(C30,Categorías!$A$2:$A$18,0)),"")</f>
        <v/>
      </c>
      <c r="E30" s="22"/>
    </row>
    <row r="31" spans="1:9" ht="15" customHeight="1" x14ac:dyDescent="0.25">
      <c r="A31" s="19"/>
      <c r="B31" s="20"/>
      <c r="C31" s="20"/>
      <c r="D31" s="21" t="str">
        <f>IFERROR(INDEX(Categorías!$B$2:$B$18,MATCH(C31,Categorías!$A$2:$A$18,0)),"")</f>
        <v/>
      </c>
      <c r="E31" s="22"/>
    </row>
    <row r="32" spans="1:9" ht="15" customHeight="1" x14ac:dyDescent="0.25">
      <c r="A32" s="19"/>
      <c r="B32" s="20"/>
      <c r="C32" s="20"/>
      <c r="D32" s="21" t="str">
        <f>IFERROR(INDEX(Categorías!$B$2:$B$18,MATCH(C32,Categorías!$A$2:$A$18,0)),"")</f>
        <v/>
      </c>
      <c r="E32" s="22"/>
    </row>
  </sheetData>
  <mergeCells count="2">
    <mergeCell ref="A1:E1"/>
    <mergeCell ref="G2:H2"/>
  </mergeCells>
  <conditionalFormatting sqref="E3:E32">
    <cfRule type="dataBar" priority="2">
      <dataBar>
        <cfvo type="min"/>
        <cfvo type="max"/>
        <color rgb="FFFC605C"/>
      </dataBar>
      <extLst>
        <ext xmlns:x14="http://schemas.microsoft.com/office/spreadsheetml/2009/9/main" uri="{B025F937-C7B1-47D3-B67F-A62EFF666E3E}">
          <x14:id>{93B04E55-5316-4E60-BD6E-CE237CBB1FC0}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B04E55-5316-4E60-BD6E-CE237CBB1FC0}">
            <x14:dataBar axisPosition="none">
              <x14:cfvo type="min"/>
              <x14:cfvo type="max"/>
              <x14:negativeFillColor rgb="FFFC605C"/>
            </x14:dataBar>
          </x14:cfRule>
          <xm:sqref>E3:E32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showGridLines="0" topLeftCell="A4" zoomScaleNormal="100" workbookViewId="0">
      <selection activeCell="A21" sqref="A21"/>
    </sheetView>
  </sheetViews>
  <sheetFormatPr baseColWidth="10" defaultColWidth="8.7109375" defaultRowHeight="15" x14ac:dyDescent="0.25"/>
  <cols>
    <col min="1" max="1" width="13" style="28" customWidth="1"/>
    <col min="2" max="2" width="30" customWidth="1"/>
    <col min="3" max="3" width="20" customWidth="1"/>
    <col min="4" max="4" width="14" customWidth="1"/>
    <col min="5" max="5" width="13" customWidth="1"/>
    <col min="7" max="7" width="20" customWidth="1"/>
    <col min="8" max="8" width="14" customWidth="1"/>
    <col min="9" max="9" width="10" hidden="1" customWidth="1"/>
  </cols>
  <sheetData>
    <row r="1" spans="1:9" ht="21.75" customHeight="1" x14ac:dyDescent="0.25">
      <c r="A1" s="2" t="s">
        <v>71</v>
      </c>
      <c r="B1" s="2"/>
      <c r="C1" s="2"/>
      <c r="D1" s="2"/>
      <c r="E1" s="2"/>
    </row>
    <row r="2" spans="1:9" ht="15" customHeight="1" x14ac:dyDescent="0.25">
      <c r="A2" s="29" t="s">
        <v>54</v>
      </c>
      <c r="B2" s="4" t="s">
        <v>55</v>
      </c>
      <c r="C2" s="4" t="s">
        <v>1</v>
      </c>
      <c r="D2" s="4" t="s">
        <v>2</v>
      </c>
      <c r="E2" s="4" t="s">
        <v>56</v>
      </c>
      <c r="G2" s="1" t="s">
        <v>64</v>
      </c>
      <c r="H2" s="1"/>
    </row>
    <row r="3" spans="1:9" ht="15" customHeight="1" x14ac:dyDescent="0.25">
      <c r="A3" s="19">
        <v>46204</v>
      </c>
      <c r="B3" s="20" t="s">
        <v>72</v>
      </c>
      <c r="C3" s="20" t="s">
        <v>23</v>
      </c>
      <c r="D3" s="21" t="str">
        <f>IFERROR(INDEX(Categorías!$B$2:$B$18,MATCH(C3,Categorías!$A$2:$A$18,0)),"")</f>
        <v>Ocio</v>
      </c>
      <c r="E3" s="22">
        <v>3</v>
      </c>
      <c r="G3" s="5" t="str">
        <f>Categorías!A2</f>
        <v>Videojuegos</v>
      </c>
      <c r="H3" s="23">
        <f t="shared" ref="H3:H19" si="0">SUMIF($C$3:$C$32,G3,$E$3:$E$32)</f>
        <v>40</v>
      </c>
      <c r="I3" s="24" t="str">
        <f>Categorías!B2</f>
        <v>Ocio</v>
      </c>
    </row>
    <row r="4" spans="1:9" ht="15" customHeight="1" x14ac:dyDescent="0.25">
      <c r="A4" s="19">
        <v>46206</v>
      </c>
      <c r="B4" s="20" t="s">
        <v>73</v>
      </c>
      <c r="C4" s="20" t="s">
        <v>31</v>
      </c>
      <c r="D4" s="21" t="str">
        <f>IFERROR(INDEX(Categorías!$B$2:$B$18,MATCH(C4,Categorías!$A$2:$A$18,0)),"")</f>
        <v>Extraordinario Evitable</v>
      </c>
      <c r="E4" s="22">
        <v>20</v>
      </c>
      <c r="G4" s="5" t="str">
        <f>Categorías!A3</f>
        <v>Apuestas</v>
      </c>
      <c r="H4" s="23">
        <f t="shared" si="0"/>
        <v>40</v>
      </c>
      <c r="I4" s="24" t="str">
        <f>Categorías!B3</f>
        <v>Ocio</v>
      </c>
    </row>
    <row r="5" spans="1:9" ht="15" customHeight="1" x14ac:dyDescent="0.25">
      <c r="A5" s="19">
        <v>46209</v>
      </c>
      <c r="B5" s="20" t="s">
        <v>74</v>
      </c>
      <c r="C5" s="20" t="s">
        <v>23</v>
      </c>
      <c r="D5" s="21" t="str">
        <f>IFERROR(INDEX(Categorías!$B$2:$B$18,MATCH(C5,Categorías!$A$2:$A$18,0)),"")</f>
        <v>Ocio</v>
      </c>
      <c r="E5" s="22">
        <v>1.8</v>
      </c>
      <c r="G5" s="5" t="str">
        <f>Categorías!A4</f>
        <v>Salidas/Ocio</v>
      </c>
      <c r="H5" s="23">
        <f t="shared" si="0"/>
        <v>122.4</v>
      </c>
      <c r="I5" s="24" t="str">
        <f>Categorías!B4</f>
        <v>Ocio</v>
      </c>
    </row>
    <row r="6" spans="1:9" ht="15" customHeight="1" x14ac:dyDescent="0.25">
      <c r="A6" s="19">
        <v>46210</v>
      </c>
      <c r="B6" s="20" t="s">
        <v>22</v>
      </c>
      <c r="C6" s="20" t="s">
        <v>22</v>
      </c>
      <c r="D6" s="21" t="str">
        <f>IFERROR(INDEX(Categorías!$B$2:$B$18,MATCH(C6,Categorías!$A$2:$A$18,0)),"")</f>
        <v>Ocio</v>
      </c>
      <c r="E6" s="22">
        <f>21.84/4</f>
        <v>5.46</v>
      </c>
      <c r="G6" s="5" t="str">
        <f>Categorías!A5</f>
        <v>Suscripciones ocio</v>
      </c>
      <c r="H6" s="23">
        <f t="shared" si="0"/>
        <v>8.5</v>
      </c>
      <c r="I6" s="24" t="str">
        <f>Categorías!B5</f>
        <v>Ocio</v>
      </c>
    </row>
    <row r="7" spans="1:9" ht="15" customHeight="1" x14ac:dyDescent="0.25">
      <c r="A7" s="19">
        <v>46210</v>
      </c>
      <c r="B7" s="20" t="s">
        <v>22</v>
      </c>
      <c r="C7" s="20" t="s">
        <v>22</v>
      </c>
      <c r="D7" s="21" t="str">
        <f>IFERROR(INDEX(Categorías!$B$2:$B$18,MATCH(C7,Categorías!$A$2:$A$18,0)),"")</f>
        <v>Ocio</v>
      </c>
      <c r="E7" s="22">
        <v>3.5</v>
      </c>
      <c r="G7" s="5" t="str">
        <f>Categorías!A6</f>
        <v>Viajes</v>
      </c>
      <c r="H7" s="23">
        <f t="shared" si="0"/>
        <v>0</v>
      </c>
      <c r="I7" s="24" t="str">
        <f>Categorías!B6</f>
        <v>Ocio</v>
      </c>
    </row>
    <row r="8" spans="1:9" ht="15" customHeight="1" x14ac:dyDescent="0.25">
      <c r="A8" s="19">
        <v>46210</v>
      </c>
      <c r="B8" s="20" t="s">
        <v>75</v>
      </c>
      <c r="C8" s="20" t="s">
        <v>18</v>
      </c>
      <c r="D8" s="21" t="str">
        <f>IFERROR(INDEX(Categorías!$B$2:$B$18,MATCH(C8,Categorías!$A$2:$A$18,0)),"")</f>
        <v>Ocio</v>
      </c>
      <c r="E8" s="22">
        <v>40</v>
      </c>
      <c r="G8" s="5" t="str">
        <f>Categorías!A7</f>
        <v>Padel</v>
      </c>
      <c r="H8" s="23">
        <f t="shared" si="0"/>
        <v>15.96</v>
      </c>
      <c r="I8" s="24" t="str">
        <f>Categorías!B7</f>
        <v>Ocio</v>
      </c>
    </row>
    <row r="9" spans="1:9" ht="15" customHeight="1" x14ac:dyDescent="0.25">
      <c r="A9" s="19">
        <v>46213</v>
      </c>
      <c r="B9" s="20" t="s">
        <v>72</v>
      </c>
      <c r="C9" s="20" t="s">
        <v>23</v>
      </c>
      <c r="D9" s="21" t="str">
        <f>IFERROR(INDEX(Categorías!$B$2:$B$18,MATCH(C9,Categorías!$A$2:$A$18,0)),"")</f>
        <v>Ocio</v>
      </c>
      <c r="E9" s="22">
        <v>5.5</v>
      </c>
      <c r="G9" s="5" t="str">
        <f>Categorías!A8</f>
        <v>Alimentación</v>
      </c>
      <c r="H9" s="23">
        <f t="shared" si="0"/>
        <v>14.8</v>
      </c>
      <c r="I9" s="24" t="str">
        <f>Categorías!B8</f>
        <v>Ocio</v>
      </c>
    </row>
    <row r="10" spans="1:9" ht="15" customHeight="1" x14ac:dyDescent="0.25">
      <c r="A10" s="19">
        <v>46217</v>
      </c>
      <c r="B10" s="20" t="s">
        <v>76</v>
      </c>
      <c r="C10" s="20" t="s">
        <v>30</v>
      </c>
      <c r="D10" s="21" t="str">
        <f>IFERROR(INDEX(Categorías!$B$2:$B$18,MATCH(C10,Categorías!$A$2:$A$18,0)),"")</f>
        <v>Extraordinario Inevitable</v>
      </c>
      <c r="E10" s="22">
        <v>19.3</v>
      </c>
      <c r="G10" s="5" t="str">
        <f>Categorías!A9</f>
        <v>Barça</v>
      </c>
      <c r="H10" s="23">
        <f t="shared" si="0"/>
        <v>0</v>
      </c>
      <c r="I10" s="24" t="str">
        <f>Categorías!B9</f>
        <v>Ocio</v>
      </c>
    </row>
    <row r="11" spans="1:9" ht="15" customHeight="1" x14ac:dyDescent="0.25">
      <c r="A11" s="19">
        <v>46218</v>
      </c>
      <c r="B11" s="20" t="s">
        <v>77</v>
      </c>
      <c r="C11" s="20" t="s">
        <v>23</v>
      </c>
      <c r="D11" s="21" t="str">
        <f>IFERROR(INDEX(Categorías!$B$2:$B$18,MATCH(C11,Categorías!$A$2:$A$18,0)),"")</f>
        <v>Ocio</v>
      </c>
      <c r="E11" s="22">
        <v>4.5</v>
      </c>
      <c r="G11" s="5" t="str">
        <f>Categorías!A10</f>
        <v>Vivienda/Alquiler</v>
      </c>
      <c r="H11" s="23">
        <f t="shared" si="0"/>
        <v>0</v>
      </c>
      <c r="I11" s="24" t="str">
        <f>Categorías!B10</f>
        <v>Ordinario</v>
      </c>
    </row>
    <row r="12" spans="1:9" ht="15" customHeight="1" x14ac:dyDescent="0.25">
      <c r="A12" s="19">
        <v>46222</v>
      </c>
      <c r="B12" s="20" t="s">
        <v>78</v>
      </c>
      <c r="C12" s="20" t="s">
        <v>19</v>
      </c>
      <c r="D12" s="21" t="str">
        <f>IFERROR(INDEX(Categorías!$B$2:$B$18,MATCH(C12,Categorías!$A$2:$A$18,0)),"")</f>
        <v>Ocio</v>
      </c>
      <c r="E12" s="22">
        <v>100</v>
      </c>
      <c r="G12" s="5" t="str">
        <f>Categorías!A11</f>
        <v>Transporte</v>
      </c>
      <c r="H12" s="23">
        <f t="shared" si="0"/>
        <v>0</v>
      </c>
      <c r="I12" s="24" t="str">
        <f>Categorías!B11</f>
        <v>Ordinario</v>
      </c>
    </row>
    <row r="13" spans="1:9" ht="15" customHeight="1" x14ac:dyDescent="0.25">
      <c r="A13" s="19">
        <v>46225</v>
      </c>
      <c r="B13" s="20" t="s">
        <v>22</v>
      </c>
      <c r="C13" s="20" t="s">
        <v>22</v>
      </c>
      <c r="D13" s="21" t="str">
        <f>IFERROR(INDEX(Categorías!$B$2:$B$18,MATCH(C13,Categorías!$A$2:$A$18,0)),"")</f>
        <v>Ocio</v>
      </c>
      <c r="E13" s="22">
        <v>3.5</v>
      </c>
      <c r="G13" s="5" t="str">
        <f>Categorías!A12</f>
        <v>Salud</v>
      </c>
      <c r="H13" s="23">
        <f t="shared" si="0"/>
        <v>0</v>
      </c>
      <c r="I13" s="24" t="str">
        <f>Categorías!B12</f>
        <v>Ordinario</v>
      </c>
    </row>
    <row r="14" spans="1:9" ht="15" customHeight="1" x14ac:dyDescent="0.25">
      <c r="A14" s="19">
        <v>46226</v>
      </c>
      <c r="B14" s="20" t="s">
        <v>79</v>
      </c>
      <c r="C14" s="20" t="s">
        <v>30</v>
      </c>
      <c r="D14" s="21" t="str">
        <f>IFERROR(INDEX(Categorías!$B$2:$B$18,MATCH(C14,Categorías!$A$2:$A$18,0)),"")</f>
        <v>Extraordinario Inevitable</v>
      </c>
      <c r="E14" s="22">
        <v>218</v>
      </c>
      <c r="G14" s="5" t="str">
        <f>Categorías!A13</f>
        <v>Barbero</v>
      </c>
      <c r="H14" s="23">
        <f t="shared" si="0"/>
        <v>15</v>
      </c>
      <c r="I14" s="24" t="str">
        <f>Categorías!B13</f>
        <v>Ordinario</v>
      </c>
    </row>
    <row r="15" spans="1:9" ht="15" customHeight="1" x14ac:dyDescent="0.25">
      <c r="A15" s="19">
        <v>46229</v>
      </c>
      <c r="B15" s="20" t="s">
        <v>80</v>
      </c>
      <c r="C15" s="20" t="s">
        <v>19</v>
      </c>
      <c r="D15" s="21" t="str">
        <f>IFERROR(INDEX(Categorías!$B$2:$B$18,MATCH(C15,Categorías!$A$2:$A$18,0)),"")</f>
        <v>Ocio</v>
      </c>
      <c r="E15" s="22">
        <f>9.9+12.5</f>
        <v>22.4</v>
      </c>
      <c r="G15" s="5" t="str">
        <f>Categorías!A14</f>
        <v>Otros</v>
      </c>
      <c r="H15" s="23">
        <f t="shared" si="0"/>
        <v>0</v>
      </c>
      <c r="I15" s="24" t="str">
        <f>Categorías!B14</f>
        <v>Ordinario</v>
      </c>
    </row>
    <row r="16" spans="1:9" ht="15" customHeight="1" x14ac:dyDescent="0.25">
      <c r="A16" s="19">
        <v>46231</v>
      </c>
      <c r="B16" s="20" t="s">
        <v>22</v>
      </c>
      <c r="C16" s="20" t="s">
        <v>22</v>
      </c>
      <c r="D16" s="21" t="str">
        <f>IFERROR(INDEX(Categorías!$B$2:$B$18,MATCH(C16,Categorías!$A$2:$A$18,0)),"")</f>
        <v>Ocio</v>
      </c>
      <c r="E16" s="22">
        <v>3.5</v>
      </c>
      <c r="G16" s="5" t="str">
        <f>Categorías!A15</f>
        <v>Burocracia</v>
      </c>
      <c r="H16" s="23">
        <f t="shared" si="0"/>
        <v>237.3</v>
      </c>
      <c r="I16" s="24" t="str">
        <f>Categorías!B15</f>
        <v>Extraordinario Inevitable</v>
      </c>
    </row>
    <row r="17" spans="1:9" ht="15" customHeight="1" x14ac:dyDescent="0.25">
      <c r="A17" s="19">
        <v>46232</v>
      </c>
      <c r="B17" s="20" t="s">
        <v>81</v>
      </c>
      <c r="C17" s="20" t="s">
        <v>17</v>
      </c>
      <c r="D17" s="21" t="str">
        <f>IFERROR(INDEX(Categorías!$B$2:$B$18,MATCH(C17,Categorías!$A$2:$A$18,0)),"")</f>
        <v>Ocio</v>
      </c>
      <c r="E17" s="22">
        <v>40</v>
      </c>
      <c r="G17" s="25" t="str">
        <f>Categorías!A16</f>
        <v>Regalos</v>
      </c>
      <c r="H17" s="26">
        <f t="shared" si="0"/>
        <v>20</v>
      </c>
      <c r="I17" s="24" t="str">
        <f>Categorías!B16</f>
        <v>Extraordinario Evitable</v>
      </c>
    </row>
    <row r="18" spans="1:9" ht="15" customHeight="1" x14ac:dyDescent="0.25">
      <c r="A18" s="19">
        <v>46233</v>
      </c>
      <c r="B18" s="20" t="s">
        <v>28</v>
      </c>
      <c r="C18" s="20" t="s">
        <v>28</v>
      </c>
      <c r="D18" s="21" t="str">
        <f>IFERROR(INDEX(Categorías!$B$2:$B$18,MATCH(C18,Categorías!$A$2:$A$18,0)),"")</f>
        <v>Ordinario</v>
      </c>
      <c r="E18" s="22">
        <v>15</v>
      </c>
      <c r="G18" t="str">
        <f>Categorías!A17</f>
        <v>Multas</v>
      </c>
      <c r="H18" s="15">
        <f t="shared" si="0"/>
        <v>50</v>
      </c>
      <c r="I18" t="str">
        <f>Categorías!B17</f>
        <v>Extraordinario Evitable</v>
      </c>
    </row>
    <row r="19" spans="1:9" ht="15" customHeight="1" x14ac:dyDescent="0.25">
      <c r="A19" s="19">
        <v>46233</v>
      </c>
      <c r="B19" s="20" t="s">
        <v>82</v>
      </c>
      <c r="C19" s="20" t="s">
        <v>32</v>
      </c>
      <c r="D19" s="21" t="str">
        <f>IFERROR(INDEX(Categorías!$B$2:$B$18,MATCH(C19,Categorías!$A$2:$A$18,0)),"")</f>
        <v>Extraordinario Evitable</v>
      </c>
      <c r="E19" s="22">
        <v>50</v>
      </c>
      <c r="G19" t="str">
        <f>Categorías!A18</f>
        <v>Otros extraordinarios</v>
      </c>
      <c r="H19" s="15">
        <f t="shared" si="0"/>
        <v>0</v>
      </c>
      <c r="I19" t="str">
        <f>Categorías!B18</f>
        <v>Extraordinario Inevitable</v>
      </c>
    </row>
    <row r="20" spans="1:9" ht="15" customHeight="1" x14ac:dyDescent="0.25">
      <c r="A20" s="19">
        <v>46221</v>
      </c>
      <c r="B20" s="20" t="s">
        <v>83</v>
      </c>
      <c r="C20" s="20" t="s">
        <v>20</v>
      </c>
      <c r="D20" s="21" t="str">
        <f>IFERROR(INDEX(Categorías!$B$2:$B$18,MATCH(C20,Categorías!$A$2:$A$18,0)),"")</f>
        <v>Ocio</v>
      </c>
      <c r="E20" s="22">
        <v>8.5</v>
      </c>
      <c r="G20" s="11"/>
      <c r="H20" s="27"/>
    </row>
    <row r="21" spans="1:9" ht="15" customHeight="1" x14ac:dyDescent="0.25">
      <c r="D21" t="str">
        <f>IFERROR(INDEX(Categorías!$B$2:$B$18,MATCH(C21,Categorías!$A$2:$A$18,0)),"")</f>
        <v/>
      </c>
      <c r="G21" s="11" t="s">
        <v>35</v>
      </c>
      <c r="H21" s="27">
        <f>SUMIF($I$3:$I$19,"Ocio",$H$3:$H$19)</f>
        <v>241.66000000000003</v>
      </c>
    </row>
    <row r="22" spans="1:9" ht="15" customHeight="1" x14ac:dyDescent="0.25">
      <c r="A22" s="19"/>
      <c r="B22" s="20"/>
      <c r="C22" s="20"/>
      <c r="D22" s="21" t="str">
        <f>IFERROR(INDEX(Categorías!$B$2:$B$18,MATCH(C22,Categorías!$A$2:$A$18,0)),"")</f>
        <v/>
      </c>
      <c r="E22" s="22"/>
      <c r="G22" s="11" t="s">
        <v>36</v>
      </c>
      <c r="H22" s="27">
        <f>SUMIF($I$3:$I$19,"Ordinario",$H$3:$H$19)</f>
        <v>15</v>
      </c>
    </row>
    <row r="23" spans="1:9" ht="15" customHeight="1" x14ac:dyDescent="0.25">
      <c r="A23" s="19"/>
      <c r="B23" s="20"/>
      <c r="C23" s="20"/>
      <c r="D23" s="21" t="str">
        <f>IFERROR(INDEX(Categorías!$B$2:$B$18,MATCH(C23,Categorías!$A$2:$A$18,0)),"")</f>
        <v/>
      </c>
      <c r="E23" s="22"/>
      <c r="G23" s="11" t="s">
        <v>37</v>
      </c>
      <c r="H23" s="27">
        <f>SUMIF($I$3:$I$19,"Extraordinario*",$H$3:$H$19)</f>
        <v>307.3</v>
      </c>
    </row>
    <row r="24" spans="1:9" ht="15" customHeight="1" x14ac:dyDescent="0.25">
      <c r="A24" s="19"/>
      <c r="B24" s="20"/>
      <c r="C24" s="20"/>
      <c r="D24" s="21" t="str">
        <f>IFERROR(INDEX(Categorías!$B$2:$B$18,MATCH(C24,Categorías!$A$2:$A$18,0)),"")</f>
        <v/>
      </c>
      <c r="E24" s="22"/>
      <c r="G24" s="11" t="s">
        <v>38</v>
      </c>
      <c r="H24" s="27">
        <f>SUMIF($I$3:$I$19,"Extraordinario Evitable",$H$3:$H$19)</f>
        <v>70</v>
      </c>
    </row>
    <row r="25" spans="1:9" ht="15" customHeight="1" x14ac:dyDescent="0.25">
      <c r="A25" s="19"/>
      <c r="B25" s="20"/>
      <c r="C25" s="20"/>
      <c r="D25" s="21" t="str">
        <f>IFERROR(INDEX(Categorías!$B$2:$B$18,MATCH(C25,Categorías!$A$2:$A$18,0)),"")</f>
        <v/>
      </c>
      <c r="E25" s="22"/>
      <c r="G25" s="11" t="s">
        <v>39</v>
      </c>
      <c r="H25" s="27">
        <f>SUMIF($I$3:$I$19,"Extraordinario Inevitable",$H$3:$H$19)</f>
        <v>237.3</v>
      </c>
    </row>
    <row r="26" spans="1:9" ht="15" customHeight="1" x14ac:dyDescent="0.25">
      <c r="A26" s="19"/>
      <c r="B26" s="20"/>
      <c r="C26" s="20"/>
      <c r="D26" s="21" t="str">
        <f>IFERROR(INDEX(Categorías!$B$2:$B$18,MATCH(C26,Categorías!$A$2:$A$18,0)),"")</f>
        <v/>
      </c>
      <c r="E26" s="22"/>
      <c r="G26" s="11" t="s">
        <v>65</v>
      </c>
      <c r="H26" s="27">
        <f>SUM($E$3:$E$32)</f>
        <v>563.96</v>
      </c>
    </row>
    <row r="27" spans="1:9" ht="15" customHeight="1" x14ac:dyDescent="0.25">
      <c r="A27" s="19"/>
      <c r="B27" s="20"/>
      <c r="C27" s="20"/>
      <c r="D27" s="21" t="str">
        <f>IFERROR(INDEX(Categorías!$B$2:$B$18,MATCH(C27,Categorías!$A$2:$A$18,0)),"")</f>
        <v/>
      </c>
      <c r="E27" s="22"/>
    </row>
    <row r="28" spans="1:9" ht="15" customHeight="1" x14ac:dyDescent="0.25">
      <c r="A28" s="19"/>
      <c r="B28" s="20"/>
      <c r="C28" s="20"/>
      <c r="D28" s="21" t="str">
        <f>IFERROR(INDEX(Categorías!$B$2:$B$18,MATCH(C28,Categorías!$A$2:$A$18,0)),"")</f>
        <v/>
      </c>
      <c r="E28" s="22"/>
    </row>
    <row r="29" spans="1:9" ht="15" customHeight="1" x14ac:dyDescent="0.25">
      <c r="A29" s="19"/>
      <c r="B29" s="20"/>
      <c r="C29" s="20"/>
      <c r="D29" s="21" t="str">
        <f>IFERROR(INDEX(Categorías!$B$2:$B$18,MATCH(C29,Categorías!$A$2:$A$18,0)),"")</f>
        <v/>
      </c>
      <c r="E29" s="22"/>
    </row>
    <row r="30" spans="1:9" ht="15" customHeight="1" x14ac:dyDescent="0.25">
      <c r="A30" s="19"/>
      <c r="B30" s="20"/>
      <c r="C30" s="20"/>
      <c r="D30" s="21" t="str">
        <f>IFERROR(INDEX(Categorías!$B$2:$B$18,MATCH(C30,Categorías!$A$2:$A$18,0)),"")</f>
        <v/>
      </c>
      <c r="E30" s="22"/>
    </row>
    <row r="31" spans="1:9" ht="15" customHeight="1" x14ac:dyDescent="0.25">
      <c r="A31" s="19"/>
      <c r="B31" s="20"/>
      <c r="C31" s="20"/>
      <c r="D31" s="21" t="str">
        <f>IFERROR(INDEX(Categorías!$B$2:$B$18,MATCH(C31,Categorías!$A$2:$A$18,0)),"")</f>
        <v/>
      </c>
      <c r="E31" s="22"/>
    </row>
    <row r="32" spans="1:9" ht="15" customHeight="1" x14ac:dyDescent="0.25">
      <c r="A32" s="19"/>
      <c r="B32" s="20"/>
      <c r="C32" s="20"/>
      <c r="D32" s="21" t="str">
        <f>IFERROR(INDEX(Categorías!$B$2:$B$18,MATCH(C32,Categorías!$A$2:$A$18,0)),"")</f>
        <v/>
      </c>
      <c r="E32" s="22"/>
    </row>
  </sheetData>
  <mergeCells count="2">
    <mergeCell ref="A1:E1"/>
    <mergeCell ref="G2:H2"/>
  </mergeCells>
  <conditionalFormatting sqref="E3:E20 E22:E32">
    <cfRule type="dataBar" priority="2">
      <dataBar>
        <cfvo type="min"/>
        <cfvo type="max"/>
        <color rgb="FFFC605C"/>
      </dataBar>
      <extLst>
        <ext xmlns:x14="http://schemas.microsoft.com/office/spreadsheetml/2009/9/main" uri="{B025F937-C7B1-47D3-B67F-A62EFF666E3E}">
          <x14:id>{20FB3E55-4615-4CEA-A76A-7889D9291EE2}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FB3E55-4615-4CEA-A76A-7889D9291EE2}">
            <x14:dataBar axisPosition="none">
              <x14:cfvo type="min"/>
              <x14:cfvo type="max"/>
              <x14:negativeFillColor rgb="FFFC605C"/>
            </x14:dataBar>
          </x14:cfRule>
          <xm:sqref>E3:E20 E22:E32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2"/>
  <sheetViews>
    <sheetView showGridLines="0" zoomScaleNormal="100" workbookViewId="0">
      <selection activeCell="E7" sqref="E7"/>
    </sheetView>
  </sheetViews>
  <sheetFormatPr baseColWidth="10" defaultColWidth="8.7109375" defaultRowHeight="15" x14ac:dyDescent="0.25"/>
  <cols>
    <col min="1" max="1" width="13" customWidth="1"/>
    <col min="2" max="2" width="30" customWidth="1"/>
    <col min="3" max="3" width="20" customWidth="1"/>
    <col min="4" max="4" width="14" customWidth="1"/>
    <col min="5" max="5" width="13" customWidth="1"/>
    <col min="7" max="7" width="20" customWidth="1"/>
    <col min="8" max="8" width="14" customWidth="1"/>
    <col min="9" max="9" width="10" hidden="1" customWidth="1"/>
  </cols>
  <sheetData>
    <row r="1" spans="1:9" ht="21.75" customHeight="1" x14ac:dyDescent="0.25">
      <c r="A1" s="2" t="s">
        <v>84</v>
      </c>
      <c r="B1" s="2"/>
      <c r="C1" s="2"/>
      <c r="D1" s="2"/>
      <c r="E1" s="2"/>
    </row>
    <row r="2" spans="1:9" ht="15" customHeight="1" x14ac:dyDescent="0.25">
      <c r="A2" s="4" t="s">
        <v>54</v>
      </c>
      <c r="B2" s="4" t="s">
        <v>55</v>
      </c>
      <c r="C2" s="4" t="s">
        <v>1</v>
      </c>
      <c r="D2" s="4" t="s">
        <v>2</v>
      </c>
      <c r="E2" s="4" t="s">
        <v>56</v>
      </c>
      <c r="G2" s="1" t="s">
        <v>64</v>
      </c>
      <c r="H2" s="1"/>
    </row>
    <row r="3" spans="1:9" ht="15" customHeight="1" x14ac:dyDescent="0.25">
      <c r="A3" s="19">
        <v>46236</v>
      </c>
      <c r="B3" s="20" t="s">
        <v>85</v>
      </c>
      <c r="C3" s="5" t="s">
        <v>19</v>
      </c>
      <c r="D3" s="21" t="str">
        <f>IFERROR(INDEX(Categorías!$B$2:$B$18,MATCH(C3,Categorías!$A$2:$A$18,0)),"")</f>
        <v>Ocio</v>
      </c>
      <c r="E3" s="22">
        <v>15.6</v>
      </c>
      <c r="G3" s="5" t="str">
        <f>Categorías!A2</f>
        <v>Videojuegos</v>
      </c>
      <c r="H3" s="23">
        <f t="shared" ref="H3:H19" si="0">SUMIF($C$3:$C$32,G3,$E$3:$E$32)</f>
        <v>0</v>
      </c>
      <c r="I3" s="24" t="str">
        <f>Categorías!B2</f>
        <v>Ocio</v>
      </c>
    </row>
    <row r="4" spans="1:9" ht="15" customHeight="1" x14ac:dyDescent="0.25">
      <c r="A4" s="19">
        <v>46235</v>
      </c>
      <c r="B4" s="20" t="s">
        <v>86</v>
      </c>
      <c r="C4" s="5" t="s">
        <v>31</v>
      </c>
      <c r="D4" s="21" t="str">
        <f>IFERROR(INDEX(Categorías!$B$2:$B$18,MATCH(C4,Categorías!$A$2:$A$18,0)),"")</f>
        <v>Extraordinario Evitable</v>
      </c>
      <c r="E4" s="22">
        <v>6.35</v>
      </c>
      <c r="G4" s="5" t="str">
        <f>Categorías!A3</f>
        <v>Apuestas</v>
      </c>
      <c r="H4" s="23">
        <f t="shared" si="0"/>
        <v>0</v>
      </c>
      <c r="I4" s="24" t="str">
        <f>Categorías!B3</f>
        <v>Ocio</v>
      </c>
    </row>
    <row r="5" spans="1:9" ht="15" customHeight="1" x14ac:dyDescent="0.25">
      <c r="A5" s="19">
        <v>46247</v>
      </c>
      <c r="B5" s="20" t="s">
        <v>87</v>
      </c>
      <c r="C5" s="20" t="s">
        <v>19</v>
      </c>
      <c r="D5" s="21" t="str">
        <f>IFERROR(INDEX(Categorías!$B$2:$B$18,MATCH(C5,Categorías!$A$2:$A$18,0)),"")</f>
        <v>Ocio</v>
      </c>
      <c r="E5" s="22">
        <f>6.25+3.4</f>
        <v>9.65</v>
      </c>
      <c r="G5" s="5" t="str">
        <f>Categorías!A4</f>
        <v>Salidas/Ocio</v>
      </c>
      <c r="H5" s="23">
        <f t="shared" si="0"/>
        <v>25.25</v>
      </c>
      <c r="I5" s="24" t="str">
        <f>Categorías!B4</f>
        <v>Ocio</v>
      </c>
    </row>
    <row r="6" spans="1:9" ht="15" customHeight="1" x14ac:dyDescent="0.25">
      <c r="A6" s="19">
        <v>46247</v>
      </c>
      <c r="B6" s="20" t="s">
        <v>83</v>
      </c>
      <c r="C6" s="5" t="s">
        <v>20</v>
      </c>
      <c r="D6" s="21" t="str">
        <f>IFERROR(INDEX(Categorías!$B$2:$B$18,MATCH(C6,Categorías!$A$2:$A$18,0)),"")</f>
        <v>Ocio</v>
      </c>
      <c r="E6" s="22">
        <v>8.5</v>
      </c>
      <c r="G6" s="5" t="str">
        <f>Categorías!A5</f>
        <v>Suscripciones ocio</v>
      </c>
      <c r="H6" s="23">
        <f t="shared" si="0"/>
        <v>11</v>
      </c>
      <c r="I6" s="24" t="str">
        <f>Categorías!B5</f>
        <v>Ocio</v>
      </c>
    </row>
    <row r="7" spans="1:9" ht="15" customHeight="1" x14ac:dyDescent="0.25">
      <c r="A7" s="19">
        <v>46243</v>
      </c>
      <c r="B7" s="20" t="s">
        <v>88</v>
      </c>
      <c r="C7" s="20" t="s">
        <v>23</v>
      </c>
      <c r="D7" s="21" t="str">
        <f>IFERROR(INDEX(Categorías!$B$2:$B$18,MATCH(C7,Categorías!$A$2:$A$18,0)),"")</f>
        <v>Ocio</v>
      </c>
      <c r="E7" s="22">
        <v>18</v>
      </c>
      <c r="G7" s="5" t="str">
        <f>Categorías!A6</f>
        <v>Viajes</v>
      </c>
      <c r="H7" s="23">
        <f t="shared" si="0"/>
        <v>0</v>
      </c>
      <c r="I7" s="24" t="str">
        <f>Categorías!B6</f>
        <v>Ocio</v>
      </c>
    </row>
    <row r="8" spans="1:9" ht="15" customHeight="1" x14ac:dyDescent="0.25">
      <c r="A8" s="19">
        <v>46249</v>
      </c>
      <c r="B8" s="20" t="s">
        <v>22</v>
      </c>
      <c r="C8" s="20" t="s">
        <v>22</v>
      </c>
      <c r="D8" s="21" t="str">
        <f>IFERROR(INDEX(Categorías!$B$2:$B$18,MATCH(C8,Categorías!$A$2:$A$18,0)),"")</f>
        <v>Ocio</v>
      </c>
      <c r="E8" s="22">
        <v>3.5</v>
      </c>
      <c r="G8" s="5" t="str">
        <f>Categorías!A7</f>
        <v>Padel</v>
      </c>
      <c r="H8" s="23">
        <f t="shared" si="0"/>
        <v>12.3</v>
      </c>
      <c r="I8" s="24" t="str">
        <f>Categorías!B7</f>
        <v>Ocio</v>
      </c>
    </row>
    <row r="9" spans="1:9" ht="15" customHeight="1" x14ac:dyDescent="0.25">
      <c r="A9" s="19">
        <v>46253</v>
      </c>
      <c r="B9" s="20" t="s">
        <v>22</v>
      </c>
      <c r="C9" s="20" t="s">
        <v>22</v>
      </c>
      <c r="D9" s="21" t="str">
        <f>IFERROR(INDEX(Categorías!$B$2:$B$18,MATCH(C9,Categorías!$A$2:$A$18,0)),"")</f>
        <v>Ocio</v>
      </c>
      <c r="E9" s="22">
        <v>3.5</v>
      </c>
      <c r="G9" s="5" t="str">
        <f>Categorías!A8</f>
        <v>Alimentación</v>
      </c>
      <c r="H9" s="23">
        <f t="shared" si="0"/>
        <v>21.6</v>
      </c>
      <c r="I9" s="24" t="str">
        <f>Categorías!B8</f>
        <v>Ocio</v>
      </c>
    </row>
    <row r="10" spans="1:9" ht="15" customHeight="1" x14ac:dyDescent="0.25">
      <c r="A10" s="19">
        <v>46254</v>
      </c>
      <c r="B10" s="20" t="s">
        <v>89</v>
      </c>
      <c r="C10" s="5" t="s">
        <v>20</v>
      </c>
      <c r="D10" s="21" t="str">
        <f>IFERROR(INDEX(Categorías!$B$2:$B$18,MATCH(C10,Categorías!$A$2:$A$18,0)),"")</f>
        <v>Ocio</v>
      </c>
      <c r="E10" s="22">
        <v>2.5</v>
      </c>
      <c r="G10" s="5" t="str">
        <f>Categorías!A9</f>
        <v>Barça</v>
      </c>
      <c r="H10" s="23">
        <f t="shared" si="0"/>
        <v>0</v>
      </c>
      <c r="I10" s="24" t="str">
        <f>Categorías!B9</f>
        <v>Ocio</v>
      </c>
    </row>
    <row r="11" spans="1:9" ht="15" customHeight="1" x14ac:dyDescent="0.25">
      <c r="A11" s="19">
        <v>46260</v>
      </c>
      <c r="B11" s="20" t="s">
        <v>22</v>
      </c>
      <c r="C11" s="20" t="s">
        <v>22</v>
      </c>
      <c r="D11" s="21" t="str">
        <f>IFERROR(INDEX(Categorías!$B$2:$B$18,MATCH(C11,Categorías!$A$2:$A$18,0)),"")</f>
        <v>Ocio</v>
      </c>
      <c r="E11" s="22">
        <v>5.3</v>
      </c>
      <c r="G11" s="5" t="str">
        <f>Categorías!A10</f>
        <v>Vivienda/Alquiler</v>
      </c>
      <c r="H11" s="23">
        <f t="shared" si="0"/>
        <v>0</v>
      </c>
      <c r="I11" s="24" t="str">
        <f>Categorías!B10</f>
        <v>Ordinario</v>
      </c>
    </row>
    <row r="12" spans="1:9" ht="15" customHeight="1" x14ac:dyDescent="0.25">
      <c r="A12" s="19">
        <v>46262</v>
      </c>
      <c r="B12" s="20" t="s">
        <v>90</v>
      </c>
      <c r="C12" s="20" t="s">
        <v>23</v>
      </c>
      <c r="D12" s="21" t="str">
        <f>IFERROR(INDEX(Categorías!$B$2:$B$18,MATCH(C12,Categorías!$A$2:$A$18,0)),"")</f>
        <v>Ocio</v>
      </c>
      <c r="E12" s="22">
        <v>3.6</v>
      </c>
      <c r="G12" s="5" t="str">
        <f>Categorías!A11</f>
        <v>Transporte</v>
      </c>
      <c r="H12" s="23">
        <f t="shared" si="0"/>
        <v>0</v>
      </c>
      <c r="I12" s="24" t="str">
        <f>Categorías!B11</f>
        <v>Ordinario</v>
      </c>
    </row>
    <row r="13" spans="1:9" ht="15" customHeight="1" x14ac:dyDescent="0.25">
      <c r="A13" s="19"/>
      <c r="B13" s="20"/>
      <c r="C13" s="20"/>
      <c r="D13" s="21" t="str">
        <f>IFERROR(INDEX(Categorías!$B$2:$B$18,MATCH(C13,Categorías!$A$2:$A$18,0)),"")</f>
        <v/>
      </c>
      <c r="E13" s="22"/>
      <c r="G13" s="5" t="str">
        <f>Categorías!A12</f>
        <v>Salud</v>
      </c>
      <c r="H13" s="23">
        <f t="shared" si="0"/>
        <v>0</v>
      </c>
      <c r="I13" s="24" t="str">
        <f>Categorías!B12</f>
        <v>Ordinario</v>
      </c>
    </row>
    <row r="14" spans="1:9" ht="15" customHeight="1" x14ac:dyDescent="0.25">
      <c r="A14" s="19"/>
      <c r="B14" s="20"/>
      <c r="C14" s="20"/>
      <c r="D14" s="21" t="str">
        <f>IFERROR(INDEX(Categorías!$B$2:$B$18,MATCH(C14,Categorías!$A$2:$A$18,0)),"")</f>
        <v/>
      </c>
      <c r="E14" s="22"/>
      <c r="G14" s="5" t="str">
        <f>Categorías!A13</f>
        <v>Barbero</v>
      </c>
      <c r="H14" s="23">
        <f t="shared" si="0"/>
        <v>0</v>
      </c>
      <c r="I14" s="24" t="str">
        <f>Categorías!B13</f>
        <v>Ordinario</v>
      </c>
    </row>
    <row r="15" spans="1:9" ht="15" customHeight="1" x14ac:dyDescent="0.25">
      <c r="A15" s="19"/>
      <c r="B15" s="20"/>
      <c r="C15" s="20"/>
      <c r="D15" s="21" t="str">
        <f>IFERROR(INDEX(Categorías!$B$2:$B$18,MATCH(C15,Categorías!$A$2:$A$18,0)),"")</f>
        <v/>
      </c>
      <c r="E15" s="22"/>
      <c r="G15" s="5" t="str">
        <f>Categorías!A14</f>
        <v>Otros</v>
      </c>
      <c r="H15" s="23">
        <f t="shared" si="0"/>
        <v>0</v>
      </c>
      <c r="I15" s="24" t="str">
        <f>Categorías!B14</f>
        <v>Ordinario</v>
      </c>
    </row>
    <row r="16" spans="1:9" ht="15" customHeight="1" x14ac:dyDescent="0.25">
      <c r="A16" s="19"/>
      <c r="B16" s="20"/>
      <c r="C16" s="20"/>
      <c r="D16" s="21" t="str">
        <f>IFERROR(INDEX(Categorías!$B$2:$B$18,MATCH(C16,Categorías!$A$2:$A$18,0)),"")</f>
        <v/>
      </c>
      <c r="E16" s="22"/>
      <c r="G16" s="5" t="str">
        <f>Categorías!A15</f>
        <v>Burocracia</v>
      </c>
      <c r="H16" s="23">
        <f t="shared" si="0"/>
        <v>0</v>
      </c>
      <c r="I16" s="24" t="str">
        <f>Categorías!B15</f>
        <v>Extraordinario Inevitable</v>
      </c>
    </row>
    <row r="17" spans="1:9" ht="15" customHeight="1" x14ac:dyDescent="0.25">
      <c r="A17" s="19"/>
      <c r="B17" s="20"/>
      <c r="C17" s="20"/>
      <c r="D17" s="21" t="str">
        <f>IFERROR(INDEX(Categorías!$B$2:$B$18,MATCH(C17,Categorías!$A$2:$A$18,0)),"")</f>
        <v/>
      </c>
      <c r="E17" s="22"/>
      <c r="G17" s="25" t="str">
        <f>Categorías!A16</f>
        <v>Regalos</v>
      </c>
      <c r="H17" s="26">
        <f t="shared" si="0"/>
        <v>6.35</v>
      </c>
      <c r="I17" s="24" t="str">
        <f>Categorías!B16</f>
        <v>Extraordinario Evitable</v>
      </c>
    </row>
    <row r="18" spans="1:9" ht="15" customHeight="1" x14ac:dyDescent="0.25">
      <c r="A18" s="19"/>
      <c r="B18" s="20"/>
      <c r="C18" s="20"/>
      <c r="D18" s="21" t="str">
        <f>IFERROR(INDEX(Categorías!$B$2:$B$18,MATCH(C18,Categorías!$A$2:$A$18,0)),"")</f>
        <v/>
      </c>
      <c r="E18" s="22"/>
      <c r="G18" t="str">
        <f>Categorías!A17</f>
        <v>Multas</v>
      </c>
      <c r="H18" s="15">
        <f t="shared" si="0"/>
        <v>0</v>
      </c>
      <c r="I18" t="str">
        <f>Categorías!B17</f>
        <v>Extraordinario Evitable</v>
      </c>
    </row>
    <row r="19" spans="1:9" ht="15" customHeight="1" x14ac:dyDescent="0.25">
      <c r="A19" s="19"/>
      <c r="B19" s="20"/>
      <c r="C19" s="20"/>
      <c r="D19" s="21" t="str">
        <f>IFERROR(INDEX(Categorías!$B$2:$B$18,MATCH(C19,Categorías!$A$2:$A$18,0)),"")</f>
        <v/>
      </c>
      <c r="E19" s="22"/>
      <c r="G19" t="str">
        <f>Categorías!A18</f>
        <v>Otros extraordinarios</v>
      </c>
      <c r="H19" s="15">
        <f t="shared" si="0"/>
        <v>0</v>
      </c>
      <c r="I19" t="str">
        <f>Categorías!B18</f>
        <v>Extraordinario Inevitable</v>
      </c>
    </row>
    <row r="20" spans="1:9" ht="15" customHeight="1" x14ac:dyDescent="0.25">
      <c r="A20" s="19"/>
      <c r="B20" s="20"/>
      <c r="C20" s="20"/>
      <c r="D20" s="21" t="str">
        <f>IFERROR(INDEX(Categorías!$B$2:$B$18,MATCH(C20,Categorías!$A$2:$A$18,0)),"")</f>
        <v/>
      </c>
      <c r="E20" s="22"/>
      <c r="G20" s="11"/>
      <c r="H20" s="27"/>
    </row>
    <row r="21" spans="1:9" ht="15" customHeight="1" x14ac:dyDescent="0.25">
      <c r="A21" s="19"/>
      <c r="B21" s="20"/>
      <c r="C21" s="20"/>
      <c r="D21" s="21" t="str">
        <f>IFERROR(INDEX(Categorías!$B$2:$B$18,MATCH(C21,Categorías!$A$2:$A$18,0)),"")</f>
        <v/>
      </c>
      <c r="E21" s="22"/>
      <c r="G21" s="11" t="s">
        <v>35</v>
      </c>
      <c r="H21" s="27">
        <f>SUMIF($I$3:$I$19,"Ocio",$H$3:$H$19)</f>
        <v>70.150000000000006</v>
      </c>
    </row>
    <row r="22" spans="1:9" ht="15" customHeight="1" x14ac:dyDescent="0.25">
      <c r="A22" s="19"/>
      <c r="B22" s="20"/>
      <c r="C22" s="20"/>
      <c r="D22" s="21" t="str">
        <f>IFERROR(INDEX(Categorías!$B$2:$B$18,MATCH(C22,Categorías!$A$2:$A$18,0)),"")</f>
        <v/>
      </c>
      <c r="E22" s="22"/>
      <c r="G22" s="11" t="s">
        <v>36</v>
      </c>
      <c r="H22" s="27">
        <f>SUMIF($I$3:$I$19,"Ordinario",$H$3:$H$19)</f>
        <v>0</v>
      </c>
    </row>
    <row r="23" spans="1:9" ht="15" customHeight="1" x14ac:dyDescent="0.25">
      <c r="A23" s="19"/>
      <c r="B23" s="20"/>
      <c r="C23" s="20"/>
      <c r="D23" s="21" t="str">
        <f>IFERROR(INDEX(Categorías!$B$2:$B$18,MATCH(C23,Categorías!$A$2:$A$18,0)),"")</f>
        <v/>
      </c>
      <c r="E23" s="22"/>
      <c r="G23" s="11" t="s">
        <v>37</v>
      </c>
      <c r="H23" s="27">
        <f>SUMIF($I$3:$I$19,"Extraordinario*",$H$3:$H$19)</f>
        <v>6.35</v>
      </c>
    </row>
    <row r="24" spans="1:9" ht="15" customHeight="1" x14ac:dyDescent="0.25">
      <c r="A24" s="19"/>
      <c r="B24" s="20"/>
      <c r="C24" s="20"/>
      <c r="D24" s="21" t="str">
        <f>IFERROR(INDEX(Categorías!$B$2:$B$18,MATCH(C24,Categorías!$A$2:$A$18,0)),"")</f>
        <v/>
      </c>
      <c r="E24" s="22"/>
      <c r="G24" s="11" t="s">
        <v>38</v>
      </c>
      <c r="H24" s="27">
        <f>SUMIF($I$3:$I$19,"Extraordinario Evitable",$H$3:$H$19)</f>
        <v>6.35</v>
      </c>
    </row>
    <row r="25" spans="1:9" ht="15" customHeight="1" x14ac:dyDescent="0.25">
      <c r="A25" s="19"/>
      <c r="B25" s="20"/>
      <c r="C25" s="20"/>
      <c r="D25" s="21" t="str">
        <f>IFERROR(INDEX(Categorías!$B$2:$B$18,MATCH(C25,Categorías!$A$2:$A$18,0)),"")</f>
        <v/>
      </c>
      <c r="E25" s="22"/>
      <c r="G25" s="11" t="s">
        <v>39</v>
      </c>
      <c r="H25" s="27">
        <f>SUMIF($I$3:$I$19,"Extraordinario Inevitable",$H$3:$H$19)</f>
        <v>0</v>
      </c>
    </row>
    <row r="26" spans="1:9" ht="15" customHeight="1" x14ac:dyDescent="0.25">
      <c r="A26" s="19"/>
      <c r="B26" s="20"/>
      <c r="C26" s="20"/>
      <c r="D26" s="21" t="str">
        <f>IFERROR(INDEX(Categorías!$B$2:$B$18,MATCH(C26,Categorías!$A$2:$A$18,0)),"")</f>
        <v/>
      </c>
      <c r="E26" s="22"/>
      <c r="G26" s="11" t="s">
        <v>65</v>
      </c>
      <c r="H26" s="27">
        <f>SUM($E$3:$E$32)</f>
        <v>76.499999999999986</v>
      </c>
    </row>
    <row r="27" spans="1:9" ht="15" customHeight="1" x14ac:dyDescent="0.25">
      <c r="A27" s="19"/>
      <c r="B27" s="20"/>
      <c r="C27" s="20"/>
      <c r="D27" s="21" t="str">
        <f>IFERROR(INDEX(Categorías!$B$2:$B$18,MATCH(C27,Categorías!$A$2:$A$18,0)),"")</f>
        <v/>
      </c>
      <c r="E27" s="22"/>
    </row>
    <row r="28" spans="1:9" ht="15" customHeight="1" x14ac:dyDescent="0.25">
      <c r="A28" s="19"/>
      <c r="B28" s="20"/>
      <c r="C28" s="20"/>
      <c r="D28" s="21" t="str">
        <f>IFERROR(INDEX(Categorías!$B$2:$B$18,MATCH(C28,Categorías!$A$2:$A$18,0)),"")</f>
        <v/>
      </c>
      <c r="E28" s="22"/>
    </row>
    <row r="29" spans="1:9" ht="15" customHeight="1" x14ac:dyDescent="0.25">
      <c r="A29" s="19"/>
      <c r="B29" s="20"/>
      <c r="C29" s="20"/>
      <c r="D29" s="21" t="str">
        <f>IFERROR(INDEX(Categorías!$B$2:$B$18,MATCH(C29,Categorías!$A$2:$A$18,0)),"")</f>
        <v/>
      </c>
      <c r="E29" s="22"/>
    </row>
    <row r="30" spans="1:9" ht="15" customHeight="1" x14ac:dyDescent="0.25">
      <c r="A30" s="19"/>
      <c r="B30" s="20"/>
      <c r="C30" s="20"/>
      <c r="D30" s="21" t="str">
        <f>IFERROR(INDEX(Categorías!$B$2:$B$18,MATCH(C30,Categorías!$A$2:$A$18,0)),"")</f>
        <v/>
      </c>
      <c r="E30" s="22"/>
    </row>
    <row r="31" spans="1:9" ht="15" customHeight="1" x14ac:dyDescent="0.25">
      <c r="A31" s="19"/>
      <c r="B31" s="20"/>
      <c r="C31" s="20"/>
      <c r="D31" s="21" t="str">
        <f>IFERROR(INDEX(Categorías!$B$2:$B$18,MATCH(C31,Categorías!$A$2:$A$18,0)),"")</f>
        <v/>
      </c>
      <c r="E31" s="22"/>
    </row>
    <row r="32" spans="1:9" ht="15" customHeight="1" x14ac:dyDescent="0.25">
      <c r="A32" s="19"/>
      <c r="B32" s="20"/>
      <c r="C32" s="20"/>
      <c r="D32" s="21" t="str">
        <f>IFERROR(INDEX(Categorías!$B$2:$B$18,MATCH(C32,Categorías!$A$2:$A$18,0)),"")</f>
        <v/>
      </c>
      <c r="E32" s="22"/>
    </row>
  </sheetData>
  <mergeCells count="2">
    <mergeCell ref="A1:E1"/>
    <mergeCell ref="G2:H2"/>
  </mergeCells>
  <conditionalFormatting sqref="E11">
    <cfRule type="dataBar" priority="2">
      <dataBar>
        <cfvo type="min"/>
        <cfvo type="max"/>
        <color rgb="FFFC605C"/>
      </dataBar>
      <extLst>
        <ext xmlns:x14="http://schemas.microsoft.com/office/spreadsheetml/2009/9/main" uri="{B025F937-C7B1-47D3-B67F-A62EFF666E3E}">
          <x14:id>{8ED1A0C1-FA16-46B1-9AD0-78963561F8E6}</x14:id>
        </ext>
      </extLst>
    </cfRule>
  </conditionalFormatting>
  <conditionalFormatting sqref="E9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{E7ED9423-3FF1-4AEA-B737-66A1F08072BC}</x14:id>
        </ext>
      </extLst>
    </cfRule>
    <cfRule type="dataBar" priority="4">
      <dataBar>
        <cfvo type="min"/>
        <cfvo type="max"/>
        <color rgb="FFFC605C"/>
      </dataBar>
      <extLst>
        <ext xmlns:x14="http://schemas.microsoft.com/office/spreadsheetml/2009/9/main" uri="{B025F937-C7B1-47D3-B67F-A62EFF666E3E}">
          <x14:id>{D37E197D-9F91-4CD3-976E-B6D6E3F2F8D6}</x14:id>
        </ext>
      </extLst>
    </cfRule>
  </conditionalFormatting>
  <conditionalFormatting sqref="E1:E8 E10 E12:E104857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{F9121E91-4DE9-4986-A067-F13F96C3C097}</x14:id>
        </ext>
      </extLst>
    </cfRule>
  </conditionalFormatting>
  <conditionalFormatting sqref="E4">
    <cfRule type="dataBar" priority="6">
      <dataBar>
        <cfvo type="min"/>
        <cfvo type="max"/>
        <color rgb="FFFC605C"/>
      </dataBar>
      <extLst>
        <ext xmlns:x14="http://schemas.microsoft.com/office/spreadsheetml/2009/9/main" uri="{B025F937-C7B1-47D3-B67F-A62EFF666E3E}">
          <x14:id>{26B3EB2E-E788-4BE9-A896-F7FDB0C5A5AF}</x14:id>
        </ext>
      </extLst>
    </cfRule>
  </conditionalFormatting>
  <conditionalFormatting sqref="E5:E8 E3 E10 E12:E32">
    <cfRule type="dataBar" priority="7">
      <dataBar>
        <cfvo type="min"/>
        <cfvo type="max"/>
        <color rgb="FFFC605C"/>
      </dataBar>
      <extLst>
        <ext xmlns:x14="http://schemas.microsoft.com/office/spreadsheetml/2009/9/main" uri="{B025F937-C7B1-47D3-B67F-A62EFF666E3E}">
          <x14:id>{7C40C045-B9B9-476A-BAC4-46FA7D3D1787}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D1A0C1-FA16-46B1-9AD0-78963561F8E6}">
            <x14:dataBar axisPosition="none">
              <x14:cfvo type="min"/>
              <x14:cfvo type="max"/>
              <x14:negativeFillColor rgb="FFFC605C"/>
            </x14:dataBar>
          </x14:cfRule>
          <xm:sqref>E11</xm:sqref>
        </x14:conditionalFormatting>
        <x14:conditionalFormatting xmlns:xm="http://schemas.microsoft.com/office/excel/2006/main">
          <x14:cfRule type="dataBar" id="{E7ED9423-3FF1-4AEA-B737-66A1F08072BC}">
            <x14:dataBar axisPosition="none">
              <x14:cfvo type="min"/>
              <x14:cfvo type="max"/>
              <x14:negativeFillColor rgb="FFFF555A"/>
            </x14:dataBar>
          </x14:cfRule>
          <x14:cfRule type="dataBar" id="{D37E197D-9F91-4CD3-976E-B6D6E3F2F8D6}">
            <x14:dataBar axisPosition="none">
              <x14:cfvo type="min"/>
              <x14:cfvo type="max"/>
              <x14:negativeFillColor rgb="FFFC605C"/>
            </x14:dataBar>
          </x14:cfRule>
          <xm:sqref>E9</xm:sqref>
        </x14:conditionalFormatting>
        <x14:conditionalFormatting xmlns:xm="http://schemas.microsoft.com/office/excel/2006/main">
          <x14:cfRule type="dataBar" id="{F9121E91-4DE9-4986-A067-F13F96C3C097}">
            <x14:dataBar axisPosition="none">
              <x14:cfvo type="min"/>
              <x14:cfvo type="max"/>
              <x14:negativeFillColor rgb="FFFF555A"/>
            </x14:dataBar>
          </x14:cfRule>
          <xm:sqref>E1:E8 E10 E12:E1048576</xm:sqref>
        </x14:conditionalFormatting>
        <x14:conditionalFormatting xmlns:xm="http://schemas.microsoft.com/office/excel/2006/main">
          <x14:cfRule type="dataBar" id="{26B3EB2E-E788-4BE9-A896-F7FDB0C5A5AF}">
            <x14:dataBar axisPosition="none">
              <x14:cfvo type="min"/>
              <x14:cfvo type="max"/>
              <x14:negativeFillColor rgb="FFFC605C"/>
            </x14:dataBar>
          </x14:cfRule>
          <xm:sqref>E4</xm:sqref>
        </x14:conditionalFormatting>
        <x14:conditionalFormatting xmlns:xm="http://schemas.microsoft.com/office/excel/2006/main">
          <x14:cfRule type="dataBar" id="{7C40C045-B9B9-476A-BAC4-46FA7D3D1787}">
            <x14:dataBar axisPosition="none">
              <x14:cfvo type="min"/>
              <x14:cfvo type="max"/>
              <x14:negativeFillColor rgb="FFFC605C"/>
            </x14:dataBar>
          </x14:cfRule>
          <xm:sqref>E5:E8 E3 E10 E12:E32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2"/>
  <sheetViews>
    <sheetView showGridLines="0" zoomScaleNormal="100" workbookViewId="0">
      <selection activeCell="H10" sqref="H10"/>
    </sheetView>
  </sheetViews>
  <sheetFormatPr baseColWidth="10" defaultColWidth="8.7109375" defaultRowHeight="15" x14ac:dyDescent="0.25"/>
  <cols>
    <col min="1" max="1" width="13" customWidth="1"/>
    <col min="2" max="2" width="30" customWidth="1"/>
    <col min="3" max="3" width="20" customWidth="1"/>
    <col min="4" max="4" width="14" customWidth="1"/>
    <col min="5" max="5" width="13" customWidth="1"/>
    <col min="7" max="7" width="20" customWidth="1"/>
    <col min="8" max="8" width="14" customWidth="1"/>
    <col min="9" max="9" width="10" hidden="1" customWidth="1"/>
  </cols>
  <sheetData>
    <row r="1" spans="1:9" ht="21.75" customHeight="1" x14ac:dyDescent="0.25">
      <c r="A1" s="2" t="s">
        <v>91</v>
      </c>
      <c r="B1" s="2"/>
      <c r="C1" s="2"/>
      <c r="D1" s="2"/>
      <c r="E1" s="2"/>
    </row>
    <row r="2" spans="1:9" ht="15" customHeight="1" x14ac:dyDescent="0.25">
      <c r="A2" s="4" t="s">
        <v>54</v>
      </c>
      <c r="B2" s="4" t="s">
        <v>55</v>
      </c>
      <c r="C2" s="4" t="s">
        <v>1</v>
      </c>
      <c r="D2" s="4" t="s">
        <v>2</v>
      </c>
      <c r="E2" s="4" t="s">
        <v>56</v>
      </c>
      <c r="G2" s="1" t="s">
        <v>64</v>
      </c>
      <c r="H2" s="1"/>
    </row>
    <row r="3" spans="1:9" ht="15" customHeight="1" x14ac:dyDescent="0.25">
      <c r="A3" s="19">
        <v>46269</v>
      </c>
      <c r="B3" s="20" t="s">
        <v>92</v>
      </c>
      <c r="C3" s="20" t="s">
        <v>24</v>
      </c>
      <c r="D3" s="21" t="str">
        <f>IFERROR(INDEX(Categorías!$B$2:$B$18,MATCH(C3,Categorías!$A$2:$A$18,0)),"")</f>
        <v>Ocio</v>
      </c>
      <c r="E3" s="22">
        <v>97</v>
      </c>
      <c r="G3" s="5" t="str">
        <f>Categorías!A2</f>
        <v>Videojuegos</v>
      </c>
      <c r="H3" s="23">
        <f t="shared" ref="H3:H19" si="0">SUMIF($C$3:$C$32,G3,$E$3:$E$32)</f>
        <v>0</v>
      </c>
      <c r="I3" s="24" t="str">
        <f>Categorías!B2</f>
        <v>Ocio</v>
      </c>
    </row>
    <row r="4" spans="1:9" ht="15" customHeight="1" x14ac:dyDescent="0.25">
      <c r="A4" s="19">
        <v>46269</v>
      </c>
      <c r="B4" s="20" t="s">
        <v>93</v>
      </c>
      <c r="C4" s="20" t="s">
        <v>24</v>
      </c>
      <c r="D4" s="21" t="str">
        <f>IFERROR(INDEX(Categorías!$B$2:$B$18,MATCH(C4,Categorías!$A$2:$A$18,0)),"")</f>
        <v>Ocio</v>
      </c>
      <c r="E4" s="22">
        <v>100</v>
      </c>
      <c r="G4" s="5" t="str">
        <f>Categorías!A3</f>
        <v>Apuestas</v>
      </c>
      <c r="H4" s="23">
        <f t="shared" si="0"/>
        <v>0</v>
      </c>
      <c r="I4" s="24" t="str">
        <f>Categorías!B3</f>
        <v>Ocio</v>
      </c>
    </row>
    <row r="5" spans="1:9" ht="15" customHeight="1" x14ac:dyDescent="0.25">
      <c r="A5" s="19">
        <v>46269</v>
      </c>
      <c r="B5" s="20" t="s">
        <v>94</v>
      </c>
      <c r="C5" s="20" t="s">
        <v>22</v>
      </c>
      <c r="D5" s="21" t="str">
        <f>IFERROR(INDEX(Categorías!$B$2:$B$18,MATCH(C5,Categorías!$A$2:$A$18,0)),"")</f>
        <v>Ocio</v>
      </c>
      <c r="E5" s="22">
        <v>3.5</v>
      </c>
      <c r="G5" s="5" t="str">
        <f>Categorías!A4</f>
        <v>Salidas/Ocio</v>
      </c>
      <c r="H5" s="23">
        <f t="shared" si="0"/>
        <v>12.5</v>
      </c>
      <c r="I5" s="24" t="str">
        <f>Categorías!B4</f>
        <v>Ocio</v>
      </c>
    </row>
    <row r="6" spans="1:9" ht="15" customHeight="1" x14ac:dyDescent="0.25">
      <c r="A6" s="19">
        <v>46272</v>
      </c>
      <c r="B6" s="20" t="s">
        <v>95</v>
      </c>
      <c r="C6" s="20" t="s">
        <v>26</v>
      </c>
      <c r="D6" s="21" t="str">
        <f>IFERROR(INDEX(Categorías!$B$2:$B$18,MATCH(C6,Categorías!$A$2:$A$18,0)),"")</f>
        <v>Ordinario</v>
      </c>
      <c r="E6" s="22">
        <v>13</v>
      </c>
      <c r="G6" s="5" t="str">
        <f>Categorías!A5</f>
        <v>Suscripciones ocio</v>
      </c>
      <c r="H6" s="23">
        <f t="shared" si="0"/>
        <v>8.5</v>
      </c>
      <c r="I6" s="24" t="str">
        <f>Categorías!B5</f>
        <v>Ocio</v>
      </c>
    </row>
    <row r="7" spans="1:9" ht="15" customHeight="1" x14ac:dyDescent="0.25">
      <c r="A7" s="19">
        <v>46273</v>
      </c>
      <c r="B7" s="20" t="s">
        <v>22</v>
      </c>
      <c r="C7" s="20" t="s">
        <v>22</v>
      </c>
      <c r="D7" s="21" t="str">
        <f>IFERROR(INDEX(Categorías!$B$2:$B$18,MATCH(C7,Categorías!$A$2:$A$18,0)),"")</f>
        <v>Ocio</v>
      </c>
      <c r="E7" s="22">
        <v>3.5</v>
      </c>
      <c r="G7" s="5" t="str">
        <f>Categorías!A6</f>
        <v>Viajes</v>
      </c>
      <c r="H7" s="23">
        <f t="shared" si="0"/>
        <v>0</v>
      </c>
      <c r="I7" s="24" t="str">
        <f>Categorías!B6</f>
        <v>Ocio</v>
      </c>
    </row>
    <row r="8" spans="1:9" ht="15" customHeight="1" x14ac:dyDescent="0.25">
      <c r="A8" s="19">
        <v>46273</v>
      </c>
      <c r="B8" s="20" t="s">
        <v>74</v>
      </c>
      <c r="C8" s="20" t="s">
        <v>23</v>
      </c>
      <c r="D8" s="21" t="str">
        <f>IFERROR(INDEX(Categorías!$B$2:$B$18,MATCH(C8,Categorías!$A$2:$A$18,0)),"")</f>
        <v>Ocio</v>
      </c>
      <c r="E8" s="22">
        <v>1.89</v>
      </c>
      <c r="G8" s="5" t="str">
        <f>Categorías!A7</f>
        <v>Padel</v>
      </c>
      <c r="H8" s="23">
        <f t="shared" si="0"/>
        <v>36.950000000000003</v>
      </c>
      <c r="I8" s="24" t="str">
        <f>Categorías!B7</f>
        <v>Ocio</v>
      </c>
    </row>
    <row r="9" spans="1:9" ht="15" customHeight="1" x14ac:dyDescent="0.25">
      <c r="A9" s="19">
        <v>46275</v>
      </c>
      <c r="B9" s="20" t="s">
        <v>22</v>
      </c>
      <c r="C9" s="20" t="s">
        <v>22</v>
      </c>
      <c r="D9" s="21" t="str">
        <f>IFERROR(INDEX(Categorías!$B$2:$B$18,MATCH(C9,Categorías!$A$2:$A$18,0)),"")</f>
        <v>Ocio</v>
      </c>
      <c r="E9" s="22">
        <v>5.5</v>
      </c>
      <c r="G9" s="5" t="str">
        <f>Categorías!A8</f>
        <v>Alimentación</v>
      </c>
      <c r="H9" s="23">
        <f t="shared" si="0"/>
        <v>1.89</v>
      </c>
      <c r="I9" s="24" t="str">
        <f>Categorías!B8</f>
        <v>Ocio</v>
      </c>
    </row>
    <row r="10" spans="1:9" ht="15" customHeight="1" x14ac:dyDescent="0.25">
      <c r="A10" s="19">
        <v>46275</v>
      </c>
      <c r="B10" s="20" t="s">
        <v>28</v>
      </c>
      <c r="C10" s="20" t="s">
        <v>28</v>
      </c>
      <c r="D10" s="21" t="str">
        <f>IFERROR(INDEX(Categorías!$B$2:$B$18,MATCH(C10,Categorías!$A$2:$A$18,0)),"")</f>
        <v>Ordinario</v>
      </c>
      <c r="E10" s="22">
        <v>15</v>
      </c>
      <c r="G10" s="5" t="str">
        <f>Categorías!A9</f>
        <v>Barça</v>
      </c>
      <c r="H10" s="23">
        <f t="shared" si="0"/>
        <v>197</v>
      </c>
      <c r="I10" s="24" t="str">
        <f>Categorías!B9</f>
        <v>Ocio</v>
      </c>
    </row>
    <row r="11" spans="1:9" ht="15" customHeight="1" x14ac:dyDescent="0.25">
      <c r="A11" s="19">
        <v>46276</v>
      </c>
      <c r="B11" s="20" t="s">
        <v>22</v>
      </c>
      <c r="C11" s="20" t="s">
        <v>22</v>
      </c>
      <c r="D11" s="21" t="str">
        <f>IFERROR(INDEX(Categorías!$B$2:$B$18,MATCH(C11,Categorías!$A$2:$A$18,0)),"")</f>
        <v>Ocio</v>
      </c>
      <c r="E11" s="22">
        <v>4.5</v>
      </c>
      <c r="G11" s="5" t="str">
        <f>Categorías!A10</f>
        <v>Vivienda/Alquiler</v>
      </c>
      <c r="H11" s="23">
        <f t="shared" si="0"/>
        <v>0</v>
      </c>
      <c r="I11" s="24" t="str">
        <f>Categorías!B10</f>
        <v>Ordinario</v>
      </c>
    </row>
    <row r="12" spans="1:9" ht="15" customHeight="1" x14ac:dyDescent="0.25">
      <c r="A12" s="19">
        <v>46276</v>
      </c>
      <c r="B12" s="20" t="s">
        <v>83</v>
      </c>
      <c r="C12" s="5" t="s">
        <v>20</v>
      </c>
      <c r="D12" s="21" t="str">
        <f>IFERROR(INDEX(Categorías!$B$2:$B$18,MATCH(C12,Categorías!$A$2:$A$18,0)),"")</f>
        <v>Ocio</v>
      </c>
      <c r="E12" s="22">
        <v>8.5</v>
      </c>
      <c r="G12" s="5" t="str">
        <f>Categorías!A11</f>
        <v>Transporte</v>
      </c>
      <c r="H12" s="23">
        <f t="shared" si="0"/>
        <v>13</v>
      </c>
      <c r="I12" s="24" t="str">
        <f>Categorías!B11</f>
        <v>Ordinario</v>
      </c>
    </row>
    <row r="13" spans="1:9" ht="15" customHeight="1" x14ac:dyDescent="0.25">
      <c r="A13" s="19">
        <v>46276</v>
      </c>
      <c r="B13" s="20" t="s">
        <v>96</v>
      </c>
      <c r="C13" s="20" t="s">
        <v>22</v>
      </c>
      <c r="D13" s="21" t="str">
        <f>IFERROR(INDEX(Categorías!$B$2:$B$18,MATCH(C13,Categorías!$A$2:$A$18,0)),"")</f>
        <v>Ocio</v>
      </c>
      <c r="E13" s="22">
        <v>19.95</v>
      </c>
      <c r="G13" s="5" t="str">
        <f>Categorías!A12</f>
        <v>Salud</v>
      </c>
      <c r="H13" s="23">
        <f t="shared" si="0"/>
        <v>0</v>
      </c>
      <c r="I13" s="24" t="str">
        <f>Categorías!B12</f>
        <v>Ordinario</v>
      </c>
    </row>
    <row r="14" spans="1:9" ht="15" customHeight="1" x14ac:dyDescent="0.25">
      <c r="A14" s="19">
        <v>46276</v>
      </c>
      <c r="B14" s="20" t="s">
        <v>97</v>
      </c>
      <c r="C14" s="20" t="s">
        <v>98</v>
      </c>
      <c r="D14" s="21" t="str">
        <f>IFERROR(INDEX(Categorías!$B$2:$B$18,MATCH(C14,Categorías!$A$2:$A$18,0)),"")</f>
        <v>Ocio</v>
      </c>
      <c r="E14" s="22">
        <v>12.5</v>
      </c>
      <c r="G14" s="5" t="str">
        <f>Categorías!A13</f>
        <v>Barbero</v>
      </c>
      <c r="H14" s="23">
        <f t="shared" si="0"/>
        <v>15</v>
      </c>
      <c r="I14" s="24" t="str">
        <f>Categorías!B13</f>
        <v>Ordinario</v>
      </c>
    </row>
    <row r="15" spans="1:9" ht="15" customHeight="1" x14ac:dyDescent="0.25">
      <c r="A15" s="19"/>
      <c r="B15" s="20"/>
      <c r="C15" s="20"/>
      <c r="D15" s="21" t="str">
        <f>IFERROR(INDEX(Categorías!$B$2:$B$18,MATCH(C15,Categorías!$A$2:$A$18,0)),"")</f>
        <v/>
      </c>
      <c r="E15" s="22"/>
      <c r="G15" s="5" t="str">
        <f>Categorías!A14</f>
        <v>Otros</v>
      </c>
      <c r="H15" s="23">
        <f t="shared" si="0"/>
        <v>0</v>
      </c>
      <c r="I15" s="24" t="str">
        <f>Categorías!B14</f>
        <v>Ordinario</v>
      </c>
    </row>
    <row r="16" spans="1:9" ht="15" customHeight="1" x14ac:dyDescent="0.25">
      <c r="A16" s="19"/>
      <c r="B16" s="20"/>
      <c r="C16" s="20"/>
      <c r="D16" s="21" t="str">
        <f>IFERROR(INDEX(Categorías!$B$2:$B$18,MATCH(C16,Categorías!$A$2:$A$18,0)),"")</f>
        <v/>
      </c>
      <c r="E16" s="22"/>
      <c r="G16" s="5" t="str">
        <f>Categorías!A15</f>
        <v>Burocracia</v>
      </c>
      <c r="H16" s="23">
        <f t="shared" si="0"/>
        <v>0</v>
      </c>
      <c r="I16" s="24" t="str">
        <f>Categorías!B15</f>
        <v>Extraordinario Inevitable</v>
      </c>
    </row>
    <row r="17" spans="1:9" ht="15" customHeight="1" x14ac:dyDescent="0.25">
      <c r="A17" s="19"/>
      <c r="B17" s="20"/>
      <c r="C17" s="20"/>
      <c r="D17" s="21" t="str">
        <f>IFERROR(INDEX(Categorías!$B$2:$B$18,MATCH(C17,Categorías!$A$2:$A$18,0)),"")</f>
        <v/>
      </c>
      <c r="E17" s="22"/>
      <c r="G17" s="25" t="str">
        <f>Categorías!A16</f>
        <v>Regalos</v>
      </c>
      <c r="H17" s="26">
        <f t="shared" si="0"/>
        <v>0</v>
      </c>
      <c r="I17" s="24" t="str">
        <f>Categorías!B16</f>
        <v>Extraordinario Evitable</v>
      </c>
    </row>
    <row r="18" spans="1:9" ht="15" customHeight="1" x14ac:dyDescent="0.25">
      <c r="A18" s="19"/>
      <c r="B18" s="20"/>
      <c r="C18" s="20"/>
      <c r="D18" s="21" t="str">
        <f>IFERROR(INDEX(Categorías!$B$2:$B$18,MATCH(C18,Categorías!$A$2:$A$18,0)),"")</f>
        <v/>
      </c>
      <c r="E18" s="22"/>
      <c r="G18" t="str">
        <f>Categorías!A17</f>
        <v>Multas</v>
      </c>
      <c r="H18" s="15">
        <f t="shared" si="0"/>
        <v>0</v>
      </c>
      <c r="I18" t="str">
        <f>Categorías!B17</f>
        <v>Extraordinario Evitable</v>
      </c>
    </row>
    <row r="19" spans="1:9" ht="15" customHeight="1" x14ac:dyDescent="0.25">
      <c r="A19" s="19"/>
      <c r="B19" s="20"/>
      <c r="C19" s="20"/>
      <c r="D19" s="21" t="str">
        <f>IFERROR(INDEX(Categorías!$B$2:$B$18,MATCH(C19,Categorías!$A$2:$A$18,0)),"")</f>
        <v/>
      </c>
      <c r="E19" s="22"/>
      <c r="G19" t="str">
        <f>Categorías!A18</f>
        <v>Otros extraordinarios</v>
      </c>
      <c r="H19" s="15">
        <f t="shared" si="0"/>
        <v>0</v>
      </c>
      <c r="I19" t="str">
        <f>Categorías!B18</f>
        <v>Extraordinario Inevitable</v>
      </c>
    </row>
    <row r="20" spans="1:9" ht="15" customHeight="1" x14ac:dyDescent="0.25">
      <c r="A20" s="19"/>
      <c r="B20" s="20"/>
      <c r="C20" s="20"/>
      <c r="D20" s="21" t="str">
        <f>IFERROR(INDEX(Categorías!$B$2:$B$18,MATCH(C20,Categorías!$A$2:$A$18,0)),"")</f>
        <v/>
      </c>
      <c r="E20" s="22"/>
      <c r="G20" s="11"/>
      <c r="H20" s="27"/>
    </row>
    <row r="21" spans="1:9" ht="15" customHeight="1" x14ac:dyDescent="0.25">
      <c r="A21" s="19"/>
      <c r="B21" s="20"/>
      <c r="C21" s="20"/>
      <c r="D21" s="21" t="str">
        <f>IFERROR(INDEX(Categorías!$B$2:$B$18,MATCH(C21,Categorías!$A$2:$A$18,0)),"")</f>
        <v/>
      </c>
      <c r="E21" s="22"/>
      <c r="G21" s="11" t="s">
        <v>35</v>
      </c>
      <c r="H21" s="27">
        <f>SUMIF($I$3:$I$19,"Ocio",$H$3:$H$19)</f>
        <v>256.84000000000003</v>
      </c>
    </row>
    <row r="22" spans="1:9" ht="15" customHeight="1" x14ac:dyDescent="0.25">
      <c r="A22" s="19"/>
      <c r="B22" s="20"/>
      <c r="C22" s="20"/>
      <c r="D22" s="21" t="str">
        <f>IFERROR(INDEX(Categorías!$B$2:$B$18,MATCH(C22,Categorías!$A$2:$A$18,0)),"")</f>
        <v/>
      </c>
      <c r="E22" s="22"/>
      <c r="G22" s="11" t="s">
        <v>36</v>
      </c>
      <c r="H22" s="27">
        <f>SUMIF($I$3:$I$19,"Ordinario",$H$3:$H$19)</f>
        <v>28</v>
      </c>
    </row>
    <row r="23" spans="1:9" ht="15" customHeight="1" x14ac:dyDescent="0.25">
      <c r="A23" s="19"/>
      <c r="B23" s="20"/>
      <c r="C23" s="20"/>
      <c r="D23" s="21" t="str">
        <f>IFERROR(INDEX(Categorías!$B$2:$B$18,MATCH(C23,Categorías!$A$2:$A$18,0)),"")</f>
        <v/>
      </c>
      <c r="E23" s="22"/>
      <c r="G23" s="11" t="s">
        <v>37</v>
      </c>
      <c r="H23" s="27">
        <f>SUMIF($I$3:$I$19,"Extraordinario*",$H$3:$H$19)</f>
        <v>0</v>
      </c>
    </row>
    <row r="24" spans="1:9" ht="15" customHeight="1" x14ac:dyDescent="0.25">
      <c r="A24" s="19"/>
      <c r="B24" s="20"/>
      <c r="C24" s="20"/>
      <c r="D24" s="21" t="str">
        <f>IFERROR(INDEX(Categorías!$B$2:$B$18,MATCH(C24,Categorías!$A$2:$A$18,0)),"")</f>
        <v/>
      </c>
      <c r="E24" s="22"/>
      <c r="G24" s="11" t="s">
        <v>38</v>
      </c>
      <c r="H24" s="27">
        <f>SUMIF($I$3:$I$19,"Extraordinario Evitable",$H$3:$H$19)</f>
        <v>0</v>
      </c>
    </row>
    <row r="25" spans="1:9" ht="15" customHeight="1" x14ac:dyDescent="0.25">
      <c r="A25" s="19"/>
      <c r="B25" s="20"/>
      <c r="C25" s="20"/>
      <c r="D25" s="21" t="str">
        <f>IFERROR(INDEX(Categorías!$B$2:$B$18,MATCH(C25,Categorías!$A$2:$A$18,0)),"")</f>
        <v/>
      </c>
      <c r="E25" s="22"/>
      <c r="G25" s="11" t="s">
        <v>39</v>
      </c>
      <c r="H25" s="27">
        <f>SUMIF($I$3:$I$19,"Extraordinario Inevitable",$H$3:$H$19)</f>
        <v>0</v>
      </c>
    </row>
    <row r="26" spans="1:9" ht="15" customHeight="1" x14ac:dyDescent="0.25">
      <c r="A26" s="19"/>
      <c r="B26" s="20"/>
      <c r="C26" s="20"/>
      <c r="D26" s="21" t="str">
        <f>IFERROR(INDEX(Categorías!$B$2:$B$18,MATCH(C26,Categorías!$A$2:$A$18,0)),"")</f>
        <v/>
      </c>
      <c r="E26" s="22"/>
      <c r="G26" s="11" t="s">
        <v>65</v>
      </c>
      <c r="H26" s="27">
        <f>SUM($E$3:$E$32)</f>
        <v>284.83999999999997</v>
      </c>
    </row>
    <row r="27" spans="1:9" ht="15" customHeight="1" x14ac:dyDescent="0.25">
      <c r="A27" s="19"/>
      <c r="B27" s="20"/>
      <c r="C27" s="20"/>
      <c r="D27" s="21" t="str">
        <f>IFERROR(INDEX(Categorías!$B$2:$B$18,MATCH(C27,Categorías!$A$2:$A$18,0)),"")</f>
        <v/>
      </c>
      <c r="E27" s="22"/>
    </row>
    <row r="28" spans="1:9" ht="15" customHeight="1" x14ac:dyDescent="0.25">
      <c r="A28" s="19"/>
      <c r="B28" s="20"/>
      <c r="C28" s="20"/>
      <c r="D28" s="21" t="str">
        <f>IFERROR(INDEX(Categorías!$B$2:$B$18,MATCH(C28,Categorías!$A$2:$A$18,0)),"")</f>
        <v/>
      </c>
      <c r="E28" s="22"/>
    </row>
    <row r="29" spans="1:9" ht="15" customHeight="1" x14ac:dyDescent="0.25">
      <c r="A29" s="19"/>
      <c r="B29" s="20"/>
      <c r="C29" s="20"/>
      <c r="D29" s="21" t="str">
        <f>IFERROR(INDEX(Categorías!$B$2:$B$18,MATCH(C29,Categorías!$A$2:$A$18,0)),"")</f>
        <v/>
      </c>
      <c r="E29" s="22"/>
    </row>
    <row r="30" spans="1:9" ht="15" customHeight="1" x14ac:dyDescent="0.25">
      <c r="A30" s="19"/>
      <c r="B30" s="20"/>
      <c r="C30" s="20"/>
      <c r="D30" s="21" t="str">
        <f>IFERROR(INDEX(Categorías!$B$2:$B$18,MATCH(C30,Categorías!$A$2:$A$18,0)),"")</f>
        <v/>
      </c>
      <c r="E30" s="22"/>
    </row>
    <row r="31" spans="1:9" ht="15" customHeight="1" x14ac:dyDescent="0.25">
      <c r="A31" s="19"/>
      <c r="B31" s="20"/>
      <c r="C31" s="20"/>
      <c r="D31" s="21" t="str">
        <f>IFERROR(INDEX(Categorías!$B$2:$B$18,MATCH(C31,Categorías!$A$2:$A$18,0)),"")</f>
        <v/>
      </c>
      <c r="E31" s="22"/>
    </row>
    <row r="32" spans="1:9" ht="15" customHeight="1" x14ac:dyDescent="0.25">
      <c r="A32" s="19"/>
      <c r="B32" s="20"/>
      <c r="C32" s="20"/>
      <c r="D32" s="21" t="str">
        <f>IFERROR(INDEX(Categorías!$B$2:$B$18,MATCH(C32,Categorías!$A$2:$A$18,0)),"")</f>
        <v/>
      </c>
      <c r="E32" s="22"/>
    </row>
  </sheetData>
  <mergeCells count="2">
    <mergeCell ref="A1:E1"/>
    <mergeCell ref="G2:H2"/>
  </mergeCells>
  <conditionalFormatting sqref="E3:E32">
    <cfRule type="dataBar" priority="2">
      <dataBar>
        <cfvo type="min"/>
        <cfvo type="max"/>
        <color rgb="FFFC605C"/>
      </dataBar>
      <extLst>
        <ext xmlns:x14="http://schemas.microsoft.com/office/spreadsheetml/2009/9/main" uri="{B025F937-C7B1-47D3-B67F-A62EFF666E3E}">
          <x14:id>{B52FD65A-B763-44F7-9A6C-CE81DFAA2F66}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2FD65A-B763-44F7-9A6C-CE81DFAA2F66}">
            <x14:dataBar axisPosition="none">
              <x14:cfvo type="min"/>
              <x14:cfvo type="max"/>
              <x14:negativeFillColor rgb="FFFC605C"/>
            </x14:dataBar>
          </x14:cfRule>
          <xm:sqref>E3:E32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30" customWidth="1"/>
    <col min="3" max="3" width="20" customWidth="1"/>
    <col min="4" max="4" width="14" customWidth="1"/>
    <col min="5" max="5" width="13" customWidth="1"/>
    <col min="7" max="7" width="20" customWidth="1"/>
    <col min="8" max="8" width="14" customWidth="1"/>
    <col min="9" max="9" width="10" hidden="1" customWidth="1"/>
  </cols>
  <sheetData>
    <row r="1" spans="1:9" ht="21.75" customHeight="1" x14ac:dyDescent="0.25">
      <c r="A1" s="2" t="s">
        <v>99</v>
      </c>
      <c r="B1" s="2"/>
      <c r="C1" s="2"/>
      <c r="D1" s="2"/>
      <c r="E1" s="2"/>
    </row>
    <row r="2" spans="1:9" ht="15" customHeight="1" x14ac:dyDescent="0.25">
      <c r="A2" s="4" t="s">
        <v>54</v>
      </c>
      <c r="B2" s="4" t="s">
        <v>55</v>
      </c>
      <c r="C2" s="4" t="s">
        <v>1</v>
      </c>
      <c r="D2" s="4" t="s">
        <v>2</v>
      </c>
      <c r="E2" s="4" t="s">
        <v>56</v>
      </c>
      <c r="G2" s="1" t="s">
        <v>64</v>
      </c>
      <c r="H2" s="1"/>
    </row>
    <row r="3" spans="1:9" ht="15" customHeight="1" x14ac:dyDescent="0.25">
      <c r="A3" s="19"/>
      <c r="B3" s="20"/>
      <c r="C3" s="20"/>
      <c r="D3" s="21" t="str">
        <f>IFERROR(INDEX(Categorías!$B$2:$B$18,MATCH(C3,Categorías!$A$2:$A$18,0)),"")</f>
        <v/>
      </c>
      <c r="E3" s="22"/>
      <c r="G3" s="5" t="str">
        <f>Categorías!A2</f>
        <v>Videojuegos</v>
      </c>
      <c r="H3" s="23">
        <f t="shared" ref="H3:H19" si="0">SUMIF($C$3:$C$32,G3,$E$3:$E$32)</f>
        <v>0</v>
      </c>
      <c r="I3" s="24" t="str">
        <f>Categorías!B2</f>
        <v>Ocio</v>
      </c>
    </row>
    <row r="4" spans="1:9" ht="15" customHeight="1" x14ac:dyDescent="0.25">
      <c r="A4" s="19"/>
      <c r="B4" s="20"/>
      <c r="C4" s="20"/>
      <c r="D4" s="21" t="str">
        <f>IFERROR(INDEX(Categorías!$B$2:$B$18,MATCH(C4,Categorías!$A$2:$A$18,0)),"")</f>
        <v/>
      </c>
      <c r="E4" s="22"/>
      <c r="G4" s="5" t="str">
        <f>Categorías!A3</f>
        <v>Apuestas</v>
      </c>
      <c r="H4" s="23">
        <f t="shared" si="0"/>
        <v>0</v>
      </c>
      <c r="I4" s="24" t="str">
        <f>Categorías!B3</f>
        <v>Ocio</v>
      </c>
    </row>
    <row r="5" spans="1:9" ht="15" customHeight="1" x14ac:dyDescent="0.25">
      <c r="A5" s="19"/>
      <c r="B5" s="20"/>
      <c r="C5" s="20"/>
      <c r="D5" s="21" t="str">
        <f>IFERROR(INDEX(Categorías!$B$2:$B$18,MATCH(C5,Categorías!$A$2:$A$18,0)),"")</f>
        <v/>
      </c>
      <c r="E5" s="22"/>
      <c r="G5" s="5" t="str">
        <f>Categorías!A4</f>
        <v>Salidas/Ocio</v>
      </c>
      <c r="H5" s="23">
        <f t="shared" si="0"/>
        <v>0</v>
      </c>
      <c r="I5" s="24" t="str">
        <f>Categorías!B4</f>
        <v>Ocio</v>
      </c>
    </row>
    <row r="6" spans="1:9" ht="15" customHeight="1" x14ac:dyDescent="0.25">
      <c r="A6" s="19"/>
      <c r="B6" s="20"/>
      <c r="C6" s="20"/>
      <c r="D6" s="21" t="str">
        <f>IFERROR(INDEX(Categorías!$B$2:$B$18,MATCH(C6,Categorías!$A$2:$A$18,0)),"")</f>
        <v/>
      </c>
      <c r="E6" s="22"/>
      <c r="G6" s="5" t="str">
        <f>Categorías!A5</f>
        <v>Suscripciones ocio</v>
      </c>
      <c r="H6" s="23">
        <f t="shared" si="0"/>
        <v>0</v>
      </c>
      <c r="I6" s="24" t="str">
        <f>Categorías!B5</f>
        <v>Ocio</v>
      </c>
    </row>
    <row r="7" spans="1:9" ht="15" customHeight="1" x14ac:dyDescent="0.25">
      <c r="A7" s="19"/>
      <c r="B7" s="20"/>
      <c r="C7" s="20"/>
      <c r="D7" s="21" t="str">
        <f>IFERROR(INDEX(Categorías!$B$2:$B$18,MATCH(C7,Categorías!$A$2:$A$18,0)),"")</f>
        <v/>
      </c>
      <c r="E7" s="22"/>
      <c r="G7" s="5" t="str">
        <f>Categorías!A6</f>
        <v>Viajes</v>
      </c>
      <c r="H7" s="23">
        <f t="shared" si="0"/>
        <v>0</v>
      </c>
      <c r="I7" s="24" t="str">
        <f>Categorías!B6</f>
        <v>Ocio</v>
      </c>
    </row>
    <row r="8" spans="1:9" ht="15" customHeight="1" x14ac:dyDescent="0.25">
      <c r="A8" s="19"/>
      <c r="B8" s="20"/>
      <c r="C8" s="20"/>
      <c r="D8" s="21" t="str">
        <f>IFERROR(INDEX(Categorías!$B$2:$B$18,MATCH(C8,Categorías!$A$2:$A$18,0)),"")</f>
        <v/>
      </c>
      <c r="E8" s="22"/>
      <c r="G8" s="5" t="str">
        <f>Categorías!A7</f>
        <v>Padel</v>
      </c>
      <c r="H8" s="23">
        <f t="shared" si="0"/>
        <v>0</v>
      </c>
      <c r="I8" s="24" t="str">
        <f>Categorías!B7</f>
        <v>Ocio</v>
      </c>
    </row>
    <row r="9" spans="1:9" ht="15" customHeight="1" x14ac:dyDescent="0.25">
      <c r="A9" s="19"/>
      <c r="B9" s="20"/>
      <c r="C9" s="20"/>
      <c r="D9" s="21" t="str">
        <f>IFERROR(INDEX(Categorías!$B$2:$B$18,MATCH(C9,Categorías!$A$2:$A$18,0)),"")</f>
        <v/>
      </c>
      <c r="E9" s="22"/>
      <c r="G9" s="5" t="str">
        <f>Categorías!A8</f>
        <v>Alimentación</v>
      </c>
      <c r="H9" s="23">
        <f t="shared" si="0"/>
        <v>0</v>
      </c>
      <c r="I9" s="24" t="str">
        <f>Categorías!B8</f>
        <v>Ocio</v>
      </c>
    </row>
    <row r="10" spans="1:9" ht="15" customHeight="1" x14ac:dyDescent="0.25">
      <c r="A10" s="19"/>
      <c r="B10" s="20"/>
      <c r="C10" s="20"/>
      <c r="D10" s="21" t="str">
        <f>IFERROR(INDEX(Categorías!$B$2:$B$18,MATCH(C10,Categorías!$A$2:$A$18,0)),"")</f>
        <v/>
      </c>
      <c r="E10" s="22"/>
      <c r="G10" s="5" t="str">
        <f>Categorías!A9</f>
        <v>Barça</v>
      </c>
      <c r="H10" s="23">
        <f t="shared" si="0"/>
        <v>0</v>
      </c>
      <c r="I10" s="24" t="str">
        <f>Categorías!B9</f>
        <v>Ocio</v>
      </c>
    </row>
    <row r="11" spans="1:9" ht="15" customHeight="1" x14ac:dyDescent="0.25">
      <c r="A11" s="19"/>
      <c r="B11" s="20"/>
      <c r="C11" s="20"/>
      <c r="D11" s="21" t="str">
        <f>IFERROR(INDEX(Categorías!$B$2:$B$18,MATCH(C11,Categorías!$A$2:$A$18,0)),"")</f>
        <v/>
      </c>
      <c r="E11" s="22"/>
      <c r="G11" s="5" t="str">
        <f>Categorías!A10</f>
        <v>Vivienda/Alquiler</v>
      </c>
      <c r="H11" s="23">
        <f t="shared" si="0"/>
        <v>0</v>
      </c>
      <c r="I11" s="24" t="str">
        <f>Categorías!B10</f>
        <v>Ordinario</v>
      </c>
    </row>
    <row r="12" spans="1:9" ht="15" customHeight="1" x14ac:dyDescent="0.25">
      <c r="A12" s="19"/>
      <c r="B12" s="20"/>
      <c r="C12" s="20"/>
      <c r="D12" s="21" t="str">
        <f>IFERROR(INDEX(Categorías!$B$2:$B$18,MATCH(C12,Categorías!$A$2:$A$18,0)),"")</f>
        <v/>
      </c>
      <c r="E12" s="22"/>
      <c r="G12" s="5" t="str">
        <f>Categorías!A11</f>
        <v>Transporte</v>
      </c>
      <c r="H12" s="23">
        <f t="shared" si="0"/>
        <v>0</v>
      </c>
      <c r="I12" s="24" t="str">
        <f>Categorías!B11</f>
        <v>Ordinario</v>
      </c>
    </row>
    <row r="13" spans="1:9" ht="15" customHeight="1" x14ac:dyDescent="0.25">
      <c r="A13" s="19"/>
      <c r="B13" s="20"/>
      <c r="C13" s="20"/>
      <c r="D13" s="21" t="str">
        <f>IFERROR(INDEX(Categorías!$B$2:$B$18,MATCH(C13,Categorías!$A$2:$A$18,0)),"")</f>
        <v/>
      </c>
      <c r="E13" s="22"/>
      <c r="G13" s="5" t="str">
        <f>Categorías!A12</f>
        <v>Salud</v>
      </c>
      <c r="H13" s="23">
        <f t="shared" si="0"/>
        <v>0</v>
      </c>
      <c r="I13" s="24" t="str">
        <f>Categorías!B12</f>
        <v>Ordinario</v>
      </c>
    </row>
    <row r="14" spans="1:9" ht="15" customHeight="1" x14ac:dyDescent="0.25">
      <c r="A14" s="19"/>
      <c r="B14" s="20"/>
      <c r="C14" s="20"/>
      <c r="D14" s="21" t="str">
        <f>IFERROR(INDEX(Categorías!$B$2:$B$18,MATCH(C14,Categorías!$A$2:$A$18,0)),"")</f>
        <v/>
      </c>
      <c r="E14" s="22"/>
      <c r="G14" s="5" t="str">
        <f>Categorías!A13</f>
        <v>Barbero</v>
      </c>
      <c r="H14" s="23">
        <f t="shared" si="0"/>
        <v>0</v>
      </c>
      <c r="I14" s="24" t="str">
        <f>Categorías!B13</f>
        <v>Ordinario</v>
      </c>
    </row>
    <row r="15" spans="1:9" ht="15" customHeight="1" x14ac:dyDescent="0.25">
      <c r="A15" s="19"/>
      <c r="B15" s="20"/>
      <c r="C15" s="20"/>
      <c r="D15" s="21" t="str">
        <f>IFERROR(INDEX(Categorías!$B$2:$B$18,MATCH(C15,Categorías!$A$2:$A$18,0)),"")</f>
        <v/>
      </c>
      <c r="E15" s="22"/>
      <c r="G15" s="5" t="str">
        <f>Categorías!A14</f>
        <v>Otros</v>
      </c>
      <c r="H15" s="23">
        <f t="shared" si="0"/>
        <v>0</v>
      </c>
      <c r="I15" s="24" t="str">
        <f>Categorías!B14</f>
        <v>Ordinario</v>
      </c>
    </row>
    <row r="16" spans="1:9" ht="15" customHeight="1" x14ac:dyDescent="0.25">
      <c r="A16" s="19"/>
      <c r="B16" s="20"/>
      <c r="C16" s="20"/>
      <c r="D16" s="21" t="str">
        <f>IFERROR(INDEX(Categorías!$B$2:$B$18,MATCH(C16,Categorías!$A$2:$A$18,0)),"")</f>
        <v/>
      </c>
      <c r="E16" s="22"/>
      <c r="G16" s="5" t="str">
        <f>Categorías!A15</f>
        <v>Burocracia</v>
      </c>
      <c r="H16" s="23">
        <f t="shared" si="0"/>
        <v>0</v>
      </c>
      <c r="I16" s="24" t="str">
        <f>Categorías!B15</f>
        <v>Extraordinario Inevitable</v>
      </c>
    </row>
    <row r="17" spans="1:9" ht="15" customHeight="1" x14ac:dyDescent="0.25">
      <c r="A17" s="19"/>
      <c r="B17" s="20"/>
      <c r="C17" s="20"/>
      <c r="D17" s="21" t="str">
        <f>IFERROR(INDEX(Categorías!$B$2:$B$18,MATCH(C17,Categorías!$A$2:$A$18,0)),"")</f>
        <v/>
      </c>
      <c r="E17" s="22"/>
      <c r="G17" s="25" t="str">
        <f>Categorías!A16</f>
        <v>Regalos</v>
      </c>
      <c r="H17" s="26">
        <f t="shared" si="0"/>
        <v>0</v>
      </c>
      <c r="I17" s="24" t="str">
        <f>Categorías!B16</f>
        <v>Extraordinario Evitable</v>
      </c>
    </row>
    <row r="18" spans="1:9" ht="15" customHeight="1" x14ac:dyDescent="0.25">
      <c r="A18" s="19"/>
      <c r="B18" s="20"/>
      <c r="C18" s="20"/>
      <c r="D18" s="21" t="str">
        <f>IFERROR(INDEX(Categorías!$B$2:$B$18,MATCH(C18,Categorías!$A$2:$A$18,0)),"")</f>
        <v/>
      </c>
      <c r="E18" s="22"/>
      <c r="G18" t="str">
        <f>Categorías!A17</f>
        <v>Multas</v>
      </c>
      <c r="H18" s="15">
        <f t="shared" si="0"/>
        <v>0</v>
      </c>
      <c r="I18" t="str">
        <f>Categorías!B17</f>
        <v>Extraordinario Evitable</v>
      </c>
    </row>
    <row r="19" spans="1:9" ht="15" customHeight="1" x14ac:dyDescent="0.25">
      <c r="A19" s="19"/>
      <c r="B19" s="20"/>
      <c r="C19" s="20"/>
      <c r="D19" s="21" t="str">
        <f>IFERROR(INDEX(Categorías!$B$2:$B$18,MATCH(C19,Categorías!$A$2:$A$18,0)),"")</f>
        <v/>
      </c>
      <c r="E19" s="22"/>
      <c r="G19" t="str">
        <f>Categorías!A18</f>
        <v>Otros extraordinarios</v>
      </c>
      <c r="H19" s="15">
        <f t="shared" si="0"/>
        <v>0</v>
      </c>
      <c r="I19" t="str">
        <f>Categorías!B18</f>
        <v>Extraordinario Inevitable</v>
      </c>
    </row>
    <row r="20" spans="1:9" ht="15" customHeight="1" x14ac:dyDescent="0.25">
      <c r="A20" s="19"/>
      <c r="B20" s="20"/>
      <c r="C20" s="20"/>
      <c r="D20" s="21" t="str">
        <f>IFERROR(INDEX(Categorías!$B$2:$B$18,MATCH(C20,Categorías!$A$2:$A$18,0)),"")</f>
        <v/>
      </c>
      <c r="E20" s="22"/>
      <c r="G20" s="11"/>
      <c r="H20" s="27"/>
    </row>
    <row r="21" spans="1:9" ht="15" customHeight="1" x14ac:dyDescent="0.25">
      <c r="A21" s="19"/>
      <c r="B21" s="20"/>
      <c r="C21" s="20"/>
      <c r="D21" s="21" t="str">
        <f>IFERROR(INDEX(Categorías!$B$2:$B$18,MATCH(C21,Categorías!$A$2:$A$18,0)),"")</f>
        <v/>
      </c>
      <c r="E21" s="22"/>
      <c r="G21" s="11" t="s">
        <v>35</v>
      </c>
      <c r="H21" s="27">
        <f>SUMIF($I$3:$I$19,"Ocio",$H$3:$H$19)</f>
        <v>0</v>
      </c>
    </row>
    <row r="22" spans="1:9" ht="15" customHeight="1" x14ac:dyDescent="0.25">
      <c r="A22" s="19"/>
      <c r="B22" s="20"/>
      <c r="C22" s="20"/>
      <c r="D22" s="21" t="str">
        <f>IFERROR(INDEX(Categorías!$B$2:$B$18,MATCH(C22,Categorías!$A$2:$A$18,0)),"")</f>
        <v/>
      </c>
      <c r="E22" s="22"/>
      <c r="G22" s="11" t="s">
        <v>36</v>
      </c>
      <c r="H22" s="27">
        <f>SUMIF($I$3:$I$19,"Ordinario",$H$3:$H$19)</f>
        <v>0</v>
      </c>
    </row>
    <row r="23" spans="1:9" ht="15" customHeight="1" x14ac:dyDescent="0.25">
      <c r="A23" s="19"/>
      <c r="B23" s="20"/>
      <c r="C23" s="20"/>
      <c r="D23" s="21" t="str">
        <f>IFERROR(INDEX(Categorías!$B$2:$B$18,MATCH(C23,Categorías!$A$2:$A$18,0)),"")</f>
        <v/>
      </c>
      <c r="E23" s="22"/>
      <c r="G23" s="11" t="s">
        <v>37</v>
      </c>
      <c r="H23" s="27">
        <f>SUMIF($I$3:$I$19,"Extraordinario*",$H$3:$H$19)</f>
        <v>0</v>
      </c>
    </row>
    <row r="24" spans="1:9" ht="15" customHeight="1" x14ac:dyDescent="0.25">
      <c r="A24" s="19"/>
      <c r="B24" s="20"/>
      <c r="C24" s="20"/>
      <c r="D24" s="21" t="str">
        <f>IFERROR(INDEX(Categorías!$B$2:$B$18,MATCH(C24,Categorías!$A$2:$A$18,0)),"")</f>
        <v/>
      </c>
      <c r="E24" s="22"/>
      <c r="G24" s="11" t="s">
        <v>38</v>
      </c>
      <c r="H24" s="27">
        <f>SUMIF($I$3:$I$19,"Extraordinario Evitable",$H$3:$H$19)</f>
        <v>0</v>
      </c>
    </row>
    <row r="25" spans="1:9" ht="15" customHeight="1" x14ac:dyDescent="0.25">
      <c r="A25" s="19"/>
      <c r="B25" s="20"/>
      <c r="C25" s="20"/>
      <c r="D25" s="21" t="str">
        <f>IFERROR(INDEX(Categorías!$B$2:$B$18,MATCH(C25,Categorías!$A$2:$A$18,0)),"")</f>
        <v/>
      </c>
      <c r="E25" s="22"/>
      <c r="G25" s="11" t="s">
        <v>39</v>
      </c>
      <c r="H25" s="27">
        <f>SUMIF($I$3:$I$19,"Extraordinario Inevitable",$H$3:$H$19)</f>
        <v>0</v>
      </c>
    </row>
    <row r="26" spans="1:9" ht="15" customHeight="1" x14ac:dyDescent="0.25">
      <c r="A26" s="19"/>
      <c r="B26" s="20"/>
      <c r="C26" s="20"/>
      <c r="D26" s="21" t="str">
        <f>IFERROR(INDEX(Categorías!$B$2:$B$18,MATCH(C26,Categorías!$A$2:$A$18,0)),"")</f>
        <v/>
      </c>
      <c r="E26" s="22"/>
      <c r="G26" s="11" t="s">
        <v>65</v>
      </c>
      <c r="H26" s="27">
        <f>SUM($E$3:$E$32)</f>
        <v>0</v>
      </c>
    </row>
    <row r="27" spans="1:9" ht="15" customHeight="1" x14ac:dyDescent="0.25">
      <c r="A27" s="19"/>
      <c r="B27" s="20"/>
      <c r="C27" s="20"/>
      <c r="D27" s="21" t="str">
        <f>IFERROR(INDEX(Categorías!$B$2:$B$18,MATCH(C27,Categorías!$A$2:$A$18,0)),"")</f>
        <v/>
      </c>
      <c r="E27" s="22"/>
    </row>
    <row r="28" spans="1:9" ht="15" customHeight="1" x14ac:dyDescent="0.25">
      <c r="A28" s="19"/>
      <c r="B28" s="20"/>
      <c r="C28" s="20"/>
      <c r="D28" s="21" t="str">
        <f>IFERROR(INDEX(Categorías!$B$2:$B$18,MATCH(C28,Categorías!$A$2:$A$18,0)),"")</f>
        <v/>
      </c>
      <c r="E28" s="22"/>
    </row>
    <row r="29" spans="1:9" ht="15" customHeight="1" x14ac:dyDescent="0.25">
      <c r="A29" s="19"/>
      <c r="B29" s="20"/>
      <c r="C29" s="20"/>
      <c r="D29" s="21" t="str">
        <f>IFERROR(INDEX(Categorías!$B$2:$B$18,MATCH(C29,Categorías!$A$2:$A$18,0)),"")</f>
        <v/>
      </c>
      <c r="E29" s="22"/>
    </row>
    <row r="30" spans="1:9" ht="15" customHeight="1" x14ac:dyDescent="0.25">
      <c r="A30" s="19"/>
      <c r="B30" s="20"/>
      <c r="C30" s="20"/>
      <c r="D30" s="21" t="str">
        <f>IFERROR(INDEX(Categorías!$B$2:$B$18,MATCH(C30,Categorías!$A$2:$A$18,0)),"")</f>
        <v/>
      </c>
      <c r="E30" s="22"/>
    </row>
    <row r="31" spans="1:9" ht="15" customHeight="1" x14ac:dyDescent="0.25">
      <c r="A31" s="19"/>
      <c r="B31" s="20"/>
      <c r="C31" s="20"/>
      <c r="D31" s="21" t="str">
        <f>IFERROR(INDEX(Categorías!$B$2:$B$18,MATCH(C31,Categorías!$A$2:$A$18,0)),"")</f>
        <v/>
      </c>
      <c r="E31" s="22"/>
    </row>
    <row r="32" spans="1:9" ht="15" customHeight="1" x14ac:dyDescent="0.25">
      <c r="A32" s="19"/>
      <c r="B32" s="20"/>
      <c r="C32" s="20"/>
      <c r="D32" s="21" t="str">
        <f>IFERROR(INDEX(Categorías!$B$2:$B$18,MATCH(C32,Categorías!$A$2:$A$18,0)),"")</f>
        <v/>
      </c>
      <c r="E32" s="22"/>
    </row>
  </sheetData>
  <mergeCells count="2">
    <mergeCell ref="A1:E1"/>
    <mergeCell ref="G2:H2"/>
  </mergeCells>
  <conditionalFormatting sqref="E3:E32">
    <cfRule type="dataBar" priority="2">
      <dataBar>
        <cfvo type="min"/>
        <cfvo type="max"/>
        <color rgb="FFFC605C"/>
      </dataBar>
      <extLst>
        <ext xmlns:x14="http://schemas.microsoft.com/office/spreadsheetml/2009/9/main" uri="{B025F937-C7B1-47D3-B67F-A62EFF666E3E}">
          <x14:id>{D3644A5C-6D31-4F63-B071-FF7630C44F7B}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644A5C-6D31-4F63-B071-FF7630C44F7B}">
            <x14:dataBar axisPosition="none">
              <x14:cfvo type="min"/>
              <x14:cfvo type="max"/>
              <x14:negativeFillColor rgb="FFFC605C"/>
            </x14:dataBar>
          </x14:cfRule>
          <xm:sqref>E3:E32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30" customWidth="1"/>
    <col min="3" max="3" width="20" customWidth="1"/>
    <col min="4" max="4" width="14" customWidth="1"/>
    <col min="5" max="5" width="13" customWidth="1"/>
    <col min="7" max="7" width="20" customWidth="1"/>
    <col min="8" max="8" width="14" customWidth="1"/>
    <col min="9" max="9" width="10" hidden="1" customWidth="1"/>
  </cols>
  <sheetData>
    <row r="1" spans="1:9" ht="21.75" customHeight="1" x14ac:dyDescent="0.25">
      <c r="A1" s="2" t="s">
        <v>100</v>
      </c>
      <c r="B1" s="2"/>
      <c r="C1" s="2"/>
      <c r="D1" s="2"/>
      <c r="E1" s="2"/>
    </row>
    <row r="2" spans="1:9" ht="15" customHeight="1" x14ac:dyDescent="0.25">
      <c r="A2" s="4" t="s">
        <v>54</v>
      </c>
      <c r="B2" s="4" t="s">
        <v>55</v>
      </c>
      <c r="C2" s="4" t="s">
        <v>1</v>
      </c>
      <c r="D2" s="4" t="s">
        <v>2</v>
      </c>
      <c r="E2" s="4" t="s">
        <v>56</v>
      </c>
      <c r="G2" s="1" t="s">
        <v>64</v>
      </c>
      <c r="H2" s="1"/>
    </row>
    <row r="3" spans="1:9" ht="15" customHeight="1" x14ac:dyDescent="0.25">
      <c r="A3" s="19"/>
      <c r="B3" s="20"/>
      <c r="C3" s="20"/>
      <c r="D3" s="21" t="str">
        <f>IFERROR(INDEX(Categorías!$B$2:$B$18,MATCH(C3,Categorías!$A$2:$A$18,0)),"")</f>
        <v/>
      </c>
      <c r="E3" s="22"/>
      <c r="G3" s="5" t="str">
        <f>Categorías!A2</f>
        <v>Videojuegos</v>
      </c>
      <c r="H3" s="23">
        <f t="shared" ref="H3:H19" si="0">SUMIF($C$3:$C$32,G3,$E$3:$E$32)</f>
        <v>0</v>
      </c>
      <c r="I3" s="24" t="str">
        <f>Categorías!B2</f>
        <v>Ocio</v>
      </c>
    </row>
    <row r="4" spans="1:9" ht="15" customHeight="1" x14ac:dyDescent="0.25">
      <c r="A4" s="19"/>
      <c r="B4" s="20"/>
      <c r="C4" s="20"/>
      <c r="D4" s="21" t="str">
        <f>IFERROR(INDEX(Categorías!$B$2:$B$18,MATCH(C4,Categorías!$A$2:$A$18,0)),"")</f>
        <v/>
      </c>
      <c r="E4" s="22"/>
      <c r="G4" s="5" t="str">
        <f>Categorías!A3</f>
        <v>Apuestas</v>
      </c>
      <c r="H4" s="23">
        <f t="shared" si="0"/>
        <v>0</v>
      </c>
      <c r="I4" s="24" t="str">
        <f>Categorías!B3</f>
        <v>Ocio</v>
      </c>
    </row>
    <row r="5" spans="1:9" ht="15" customHeight="1" x14ac:dyDescent="0.25">
      <c r="A5" s="19"/>
      <c r="B5" s="20"/>
      <c r="C5" s="20"/>
      <c r="D5" s="21" t="str">
        <f>IFERROR(INDEX(Categorías!$B$2:$B$18,MATCH(C5,Categorías!$A$2:$A$18,0)),"")</f>
        <v/>
      </c>
      <c r="E5" s="22"/>
      <c r="G5" s="5" t="str">
        <f>Categorías!A4</f>
        <v>Salidas/Ocio</v>
      </c>
      <c r="H5" s="23">
        <f t="shared" si="0"/>
        <v>0</v>
      </c>
      <c r="I5" s="24" t="str">
        <f>Categorías!B4</f>
        <v>Ocio</v>
      </c>
    </row>
    <row r="6" spans="1:9" ht="15" customHeight="1" x14ac:dyDescent="0.25">
      <c r="A6" s="19"/>
      <c r="B6" s="20"/>
      <c r="C6" s="20"/>
      <c r="D6" s="21" t="str">
        <f>IFERROR(INDEX(Categorías!$B$2:$B$18,MATCH(C6,Categorías!$A$2:$A$18,0)),"")</f>
        <v/>
      </c>
      <c r="E6" s="22"/>
      <c r="G6" s="5" t="str">
        <f>Categorías!A5</f>
        <v>Suscripciones ocio</v>
      </c>
      <c r="H6" s="23">
        <f t="shared" si="0"/>
        <v>0</v>
      </c>
      <c r="I6" s="24" t="str">
        <f>Categorías!B5</f>
        <v>Ocio</v>
      </c>
    </row>
    <row r="7" spans="1:9" ht="15" customHeight="1" x14ac:dyDescent="0.25">
      <c r="A7" s="19"/>
      <c r="B7" s="20"/>
      <c r="C7" s="20"/>
      <c r="D7" s="21" t="str">
        <f>IFERROR(INDEX(Categorías!$B$2:$B$18,MATCH(C7,Categorías!$A$2:$A$18,0)),"")</f>
        <v/>
      </c>
      <c r="E7" s="22"/>
      <c r="G7" s="5" t="str">
        <f>Categorías!A6</f>
        <v>Viajes</v>
      </c>
      <c r="H7" s="23">
        <f t="shared" si="0"/>
        <v>0</v>
      </c>
      <c r="I7" s="24" t="str">
        <f>Categorías!B6</f>
        <v>Ocio</v>
      </c>
    </row>
    <row r="8" spans="1:9" ht="15" customHeight="1" x14ac:dyDescent="0.25">
      <c r="A8" s="19"/>
      <c r="B8" s="20"/>
      <c r="C8" s="20"/>
      <c r="D8" s="21" t="str">
        <f>IFERROR(INDEX(Categorías!$B$2:$B$18,MATCH(C8,Categorías!$A$2:$A$18,0)),"")</f>
        <v/>
      </c>
      <c r="E8" s="22"/>
      <c r="G8" s="5" t="str">
        <f>Categorías!A7</f>
        <v>Padel</v>
      </c>
      <c r="H8" s="23">
        <f t="shared" si="0"/>
        <v>0</v>
      </c>
      <c r="I8" s="24" t="str">
        <f>Categorías!B7</f>
        <v>Ocio</v>
      </c>
    </row>
    <row r="9" spans="1:9" ht="15" customHeight="1" x14ac:dyDescent="0.25">
      <c r="A9" s="19"/>
      <c r="B9" s="20"/>
      <c r="C9" s="20"/>
      <c r="D9" s="21" t="str">
        <f>IFERROR(INDEX(Categorías!$B$2:$B$18,MATCH(C9,Categorías!$A$2:$A$18,0)),"")</f>
        <v/>
      </c>
      <c r="E9" s="22"/>
      <c r="G9" s="5" t="str">
        <f>Categorías!A8</f>
        <v>Alimentación</v>
      </c>
      <c r="H9" s="23">
        <f t="shared" si="0"/>
        <v>0</v>
      </c>
      <c r="I9" s="24" t="str">
        <f>Categorías!B8</f>
        <v>Ocio</v>
      </c>
    </row>
    <row r="10" spans="1:9" ht="15" customHeight="1" x14ac:dyDescent="0.25">
      <c r="A10" s="19"/>
      <c r="B10" s="20"/>
      <c r="C10" s="20"/>
      <c r="D10" s="21" t="str">
        <f>IFERROR(INDEX(Categorías!$B$2:$B$18,MATCH(C10,Categorías!$A$2:$A$18,0)),"")</f>
        <v/>
      </c>
      <c r="E10" s="22"/>
      <c r="G10" s="5" t="str">
        <f>Categorías!A9</f>
        <v>Barça</v>
      </c>
      <c r="H10" s="23">
        <f t="shared" si="0"/>
        <v>0</v>
      </c>
      <c r="I10" s="24" t="str">
        <f>Categorías!B9</f>
        <v>Ocio</v>
      </c>
    </row>
    <row r="11" spans="1:9" ht="15" customHeight="1" x14ac:dyDescent="0.25">
      <c r="A11" s="19"/>
      <c r="B11" s="20"/>
      <c r="C11" s="20"/>
      <c r="D11" s="21" t="str">
        <f>IFERROR(INDEX(Categorías!$B$2:$B$18,MATCH(C11,Categorías!$A$2:$A$18,0)),"")</f>
        <v/>
      </c>
      <c r="E11" s="22"/>
      <c r="G11" s="5" t="str">
        <f>Categorías!A10</f>
        <v>Vivienda/Alquiler</v>
      </c>
      <c r="H11" s="23">
        <f t="shared" si="0"/>
        <v>0</v>
      </c>
      <c r="I11" s="24" t="str">
        <f>Categorías!B10</f>
        <v>Ordinario</v>
      </c>
    </row>
    <row r="12" spans="1:9" ht="15" customHeight="1" x14ac:dyDescent="0.25">
      <c r="A12" s="19"/>
      <c r="B12" s="20"/>
      <c r="C12" s="20"/>
      <c r="D12" s="21" t="str">
        <f>IFERROR(INDEX(Categorías!$B$2:$B$18,MATCH(C12,Categorías!$A$2:$A$18,0)),"")</f>
        <v/>
      </c>
      <c r="E12" s="22"/>
      <c r="G12" s="5" t="str">
        <f>Categorías!A11</f>
        <v>Transporte</v>
      </c>
      <c r="H12" s="23">
        <f t="shared" si="0"/>
        <v>0</v>
      </c>
      <c r="I12" s="24" t="str">
        <f>Categorías!B11</f>
        <v>Ordinario</v>
      </c>
    </row>
    <row r="13" spans="1:9" ht="15" customHeight="1" x14ac:dyDescent="0.25">
      <c r="A13" s="19"/>
      <c r="B13" s="20"/>
      <c r="C13" s="20"/>
      <c r="D13" s="21" t="str">
        <f>IFERROR(INDEX(Categorías!$B$2:$B$18,MATCH(C13,Categorías!$A$2:$A$18,0)),"")</f>
        <v/>
      </c>
      <c r="E13" s="22"/>
      <c r="G13" s="5" t="str">
        <f>Categorías!A12</f>
        <v>Salud</v>
      </c>
      <c r="H13" s="23">
        <f t="shared" si="0"/>
        <v>0</v>
      </c>
      <c r="I13" s="24" t="str">
        <f>Categorías!B12</f>
        <v>Ordinario</v>
      </c>
    </row>
    <row r="14" spans="1:9" ht="15" customHeight="1" x14ac:dyDescent="0.25">
      <c r="A14" s="19"/>
      <c r="B14" s="20"/>
      <c r="C14" s="20"/>
      <c r="D14" s="21" t="str">
        <f>IFERROR(INDEX(Categorías!$B$2:$B$18,MATCH(C14,Categorías!$A$2:$A$18,0)),"")</f>
        <v/>
      </c>
      <c r="E14" s="22"/>
      <c r="G14" s="5" t="str">
        <f>Categorías!A13</f>
        <v>Barbero</v>
      </c>
      <c r="H14" s="23">
        <f t="shared" si="0"/>
        <v>0</v>
      </c>
      <c r="I14" s="24" t="str">
        <f>Categorías!B13</f>
        <v>Ordinario</v>
      </c>
    </row>
    <row r="15" spans="1:9" ht="15" customHeight="1" x14ac:dyDescent="0.25">
      <c r="A15" s="19"/>
      <c r="B15" s="20"/>
      <c r="C15" s="20"/>
      <c r="D15" s="21" t="str">
        <f>IFERROR(INDEX(Categorías!$B$2:$B$18,MATCH(C15,Categorías!$A$2:$A$18,0)),"")</f>
        <v/>
      </c>
      <c r="E15" s="22"/>
      <c r="G15" s="5" t="str">
        <f>Categorías!A14</f>
        <v>Otros</v>
      </c>
      <c r="H15" s="23">
        <f t="shared" si="0"/>
        <v>0</v>
      </c>
      <c r="I15" s="24" t="str">
        <f>Categorías!B14</f>
        <v>Ordinario</v>
      </c>
    </row>
    <row r="16" spans="1:9" ht="15" customHeight="1" x14ac:dyDescent="0.25">
      <c r="A16" s="19"/>
      <c r="B16" s="20"/>
      <c r="C16" s="20"/>
      <c r="D16" s="21" t="str">
        <f>IFERROR(INDEX(Categorías!$B$2:$B$18,MATCH(C16,Categorías!$A$2:$A$18,0)),"")</f>
        <v/>
      </c>
      <c r="E16" s="22"/>
      <c r="G16" s="5" t="str">
        <f>Categorías!A15</f>
        <v>Burocracia</v>
      </c>
      <c r="H16" s="23">
        <f t="shared" si="0"/>
        <v>0</v>
      </c>
      <c r="I16" s="24" t="str">
        <f>Categorías!B15</f>
        <v>Extraordinario Inevitable</v>
      </c>
    </row>
    <row r="17" spans="1:9" ht="15" customHeight="1" x14ac:dyDescent="0.25">
      <c r="A17" s="19"/>
      <c r="B17" s="20"/>
      <c r="C17" s="20"/>
      <c r="D17" s="21" t="str">
        <f>IFERROR(INDEX(Categorías!$B$2:$B$18,MATCH(C17,Categorías!$A$2:$A$18,0)),"")</f>
        <v/>
      </c>
      <c r="E17" s="22"/>
      <c r="G17" s="25" t="str">
        <f>Categorías!A16</f>
        <v>Regalos</v>
      </c>
      <c r="H17" s="26">
        <f t="shared" si="0"/>
        <v>0</v>
      </c>
      <c r="I17" s="24" t="str">
        <f>Categorías!B16</f>
        <v>Extraordinario Evitable</v>
      </c>
    </row>
    <row r="18" spans="1:9" ht="15" customHeight="1" x14ac:dyDescent="0.25">
      <c r="A18" s="19"/>
      <c r="B18" s="20"/>
      <c r="C18" s="20"/>
      <c r="D18" s="21" t="str">
        <f>IFERROR(INDEX(Categorías!$B$2:$B$18,MATCH(C18,Categorías!$A$2:$A$18,0)),"")</f>
        <v/>
      </c>
      <c r="E18" s="22"/>
      <c r="G18" t="str">
        <f>Categorías!A17</f>
        <v>Multas</v>
      </c>
      <c r="H18" s="15">
        <f t="shared" si="0"/>
        <v>0</v>
      </c>
      <c r="I18" t="str">
        <f>Categorías!B17</f>
        <v>Extraordinario Evitable</v>
      </c>
    </row>
    <row r="19" spans="1:9" ht="15" customHeight="1" x14ac:dyDescent="0.25">
      <c r="A19" s="19"/>
      <c r="B19" s="20"/>
      <c r="C19" s="20"/>
      <c r="D19" s="21" t="str">
        <f>IFERROR(INDEX(Categorías!$B$2:$B$18,MATCH(C19,Categorías!$A$2:$A$18,0)),"")</f>
        <v/>
      </c>
      <c r="E19" s="22"/>
      <c r="G19" t="str">
        <f>Categorías!A18</f>
        <v>Otros extraordinarios</v>
      </c>
      <c r="H19" s="15">
        <f t="shared" si="0"/>
        <v>0</v>
      </c>
      <c r="I19" t="str">
        <f>Categorías!B18</f>
        <v>Extraordinario Inevitable</v>
      </c>
    </row>
    <row r="20" spans="1:9" ht="15" customHeight="1" x14ac:dyDescent="0.25">
      <c r="A20" s="19"/>
      <c r="B20" s="20"/>
      <c r="C20" s="20"/>
      <c r="D20" s="21" t="str">
        <f>IFERROR(INDEX(Categorías!$B$2:$B$18,MATCH(C20,Categorías!$A$2:$A$18,0)),"")</f>
        <v/>
      </c>
      <c r="E20" s="22"/>
      <c r="G20" s="11"/>
      <c r="H20" s="27"/>
    </row>
    <row r="21" spans="1:9" ht="15" customHeight="1" x14ac:dyDescent="0.25">
      <c r="A21" s="19"/>
      <c r="B21" s="20"/>
      <c r="C21" s="20"/>
      <c r="D21" s="21" t="str">
        <f>IFERROR(INDEX(Categorías!$B$2:$B$18,MATCH(C21,Categorías!$A$2:$A$18,0)),"")</f>
        <v/>
      </c>
      <c r="E21" s="22"/>
      <c r="G21" s="11" t="s">
        <v>35</v>
      </c>
      <c r="H21" s="27">
        <f>SUMIF($I$3:$I$19,"Ocio",$H$3:$H$19)</f>
        <v>0</v>
      </c>
    </row>
    <row r="22" spans="1:9" ht="15" customHeight="1" x14ac:dyDescent="0.25">
      <c r="A22" s="19"/>
      <c r="B22" s="20"/>
      <c r="C22" s="20"/>
      <c r="D22" s="21" t="str">
        <f>IFERROR(INDEX(Categorías!$B$2:$B$18,MATCH(C22,Categorías!$A$2:$A$18,0)),"")</f>
        <v/>
      </c>
      <c r="E22" s="22"/>
      <c r="G22" s="11" t="s">
        <v>36</v>
      </c>
      <c r="H22" s="27">
        <f>SUMIF($I$3:$I$19,"Ordinario",$H$3:$H$19)</f>
        <v>0</v>
      </c>
    </row>
    <row r="23" spans="1:9" ht="15" customHeight="1" x14ac:dyDescent="0.25">
      <c r="A23" s="19"/>
      <c r="B23" s="20"/>
      <c r="C23" s="20"/>
      <c r="D23" s="21" t="str">
        <f>IFERROR(INDEX(Categorías!$B$2:$B$18,MATCH(C23,Categorías!$A$2:$A$18,0)),"")</f>
        <v/>
      </c>
      <c r="E23" s="22"/>
      <c r="G23" s="11" t="s">
        <v>37</v>
      </c>
      <c r="H23" s="27">
        <f>SUMIF($I$3:$I$19,"Extraordinario*",$H$3:$H$19)</f>
        <v>0</v>
      </c>
    </row>
    <row r="24" spans="1:9" ht="15" customHeight="1" x14ac:dyDescent="0.25">
      <c r="A24" s="19"/>
      <c r="B24" s="20"/>
      <c r="C24" s="20"/>
      <c r="D24" s="21" t="str">
        <f>IFERROR(INDEX(Categorías!$B$2:$B$18,MATCH(C24,Categorías!$A$2:$A$18,0)),"")</f>
        <v/>
      </c>
      <c r="E24" s="22"/>
      <c r="G24" s="11" t="s">
        <v>38</v>
      </c>
      <c r="H24" s="27">
        <f>SUMIF($I$3:$I$19,"Extraordinario Evitable",$H$3:$H$19)</f>
        <v>0</v>
      </c>
    </row>
    <row r="25" spans="1:9" ht="15" customHeight="1" x14ac:dyDescent="0.25">
      <c r="A25" s="19"/>
      <c r="B25" s="20"/>
      <c r="C25" s="20"/>
      <c r="D25" s="21" t="str">
        <f>IFERROR(INDEX(Categorías!$B$2:$B$18,MATCH(C25,Categorías!$A$2:$A$18,0)),"")</f>
        <v/>
      </c>
      <c r="E25" s="22"/>
      <c r="G25" s="11" t="s">
        <v>39</v>
      </c>
      <c r="H25" s="27">
        <f>SUMIF($I$3:$I$19,"Extraordinario Inevitable",$H$3:$H$19)</f>
        <v>0</v>
      </c>
    </row>
    <row r="26" spans="1:9" ht="15" customHeight="1" x14ac:dyDescent="0.25">
      <c r="A26" s="19"/>
      <c r="B26" s="20"/>
      <c r="C26" s="20"/>
      <c r="D26" s="21" t="str">
        <f>IFERROR(INDEX(Categorías!$B$2:$B$18,MATCH(C26,Categorías!$A$2:$A$18,0)),"")</f>
        <v/>
      </c>
      <c r="E26" s="22"/>
      <c r="G26" s="11" t="s">
        <v>65</v>
      </c>
      <c r="H26" s="27">
        <f>SUM($E$3:$E$32)</f>
        <v>0</v>
      </c>
    </row>
    <row r="27" spans="1:9" ht="15" customHeight="1" x14ac:dyDescent="0.25">
      <c r="A27" s="19"/>
      <c r="B27" s="20"/>
      <c r="C27" s="20"/>
      <c r="D27" s="21" t="str">
        <f>IFERROR(INDEX(Categorías!$B$2:$B$18,MATCH(C27,Categorías!$A$2:$A$18,0)),"")</f>
        <v/>
      </c>
      <c r="E27" s="22"/>
    </row>
    <row r="28" spans="1:9" ht="15" customHeight="1" x14ac:dyDescent="0.25">
      <c r="A28" s="19"/>
      <c r="B28" s="20"/>
      <c r="C28" s="20"/>
      <c r="D28" s="21" t="str">
        <f>IFERROR(INDEX(Categorías!$B$2:$B$18,MATCH(C28,Categorías!$A$2:$A$18,0)),"")</f>
        <v/>
      </c>
      <c r="E28" s="22"/>
    </row>
    <row r="29" spans="1:9" ht="15" customHeight="1" x14ac:dyDescent="0.25">
      <c r="A29" s="19"/>
      <c r="B29" s="20"/>
      <c r="C29" s="20"/>
      <c r="D29" s="21" t="str">
        <f>IFERROR(INDEX(Categorías!$B$2:$B$18,MATCH(C29,Categorías!$A$2:$A$18,0)),"")</f>
        <v/>
      </c>
      <c r="E29" s="22"/>
    </row>
    <row r="30" spans="1:9" ht="15" customHeight="1" x14ac:dyDescent="0.25">
      <c r="A30" s="19"/>
      <c r="B30" s="20"/>
      <c r="C30" s="20"/>
      <c r="D30" s="21" t="str">
        <f>IFERROR(INDEX(Categorías!$B$2:$B$18,MATCH(C30,Categorías!$A$2:$A$18,0)),"")</f>
        <v/>
      </c>
      <c r="E30" s="22"/>
    </row>
    <row r="31" spans="1:9" ht="15" customHeight="1" x14ac:dyDescent="0.25">
      <c r="A31" s="19"/>
      <c r="B31" s="20"/>
      <c r="C31" s="20"/>
      <c r="D31" s="21" t="str">
        <f>IFERROR(INDEX(Categorías!$B$2:$B$18,MATCH(C31,Categorías!$A$2:$A$18,0)),"")</f>
        <v/>
      </c>
      <c r="E31" s="22"/>
    </row>
    <row r="32" spans="1:9" ht="15" customHeight="1" x14ac:dyDescent="0.25">
      <c r="A32" s="19"/>
      <c r="B32" s="20"/>
      <c r="C32" s="20"/>
      <c r="D32" s="21" t="str">
        <f>IFERROR(INDEX(Categorías!$B$2:$B$18,MATCH(C32,Categorías!$A$2:$A$18,0)),"")</f>
        <v/>
      </c>
      <c r="E32" s="22"/>
    </row>
  </sheetData>
  <mergeCells count="2">
    <mergeCell ref="A1:E1"/>
    <mergeCell ref="G2:H2"/>
  </mergeCells>
  <conditionalFormatting sqref="E3:E32">
    <cfRule type="dataBar" priority="2">
      <dataBar>
        <cfvo type="min"/>
        <cfvo type="max"/>
        <color rgb="FFFC605C"/>
      </dataBar>
      <extLst>
        <ext xmlns:x14="http://schemas.microsoft.com/office/spreadsheetml/2009/9/main" uri="{B025F937-C7B1-47D3-B67F-A62EFF666E3E}">
          <x14:id>{10DC8B32-68D4-4139-9A7C-81924731C08B}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DC8B32-68D4-4139-9A7C-81924731C08B}">
            <x14:dataBar axisPosition="none">
              <x14:cfvo type="min"/>
              <x14:cfvo type="max"/>
              <x14:negativeFillColor rgb="FFFC605C"/>
            </x14:dataBar>
          </x14:cfRule>
          <xm:sqref>E3:E32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30" customWidth="1"/>
    <col min="3" max="3" width="20" customWidth="1"/>
    <col min="4" max="4" width="14" customWidth="1"/>
    <col min="5" max="5" width="13" customWidth="1"/>
    <col min="7" max="7" width="20" customWidth="1"/>
    <col min="8" max="8" width="14" customWidth="1"/>
    <col min="9" max="9" width="10" hidden="1" customWidth="1"/>
  </cols>
  <sheetData>
    <row r="1" spans="1:9" ht="21.75" customHeight="1" x14ac:dyDescent="0.25">
      <c r="A1" s="2" t="s">
        <v>101</v>
      </c>
      <c r="B1" s="2"/>
      <c r="C1" s="2"/>
      <c r="D1" s="2"/>
      <c r="E1" s="2"/>
    </row>
    <row r="2" spans="1:9" ht="15" customHeight="1" x14ac:dyDescent="0.25">
      <c r="A2" s="4" t="s">
        <v>54</v>
      </c>
      <c r="B2" s="4" t="s">
        <v>55</v>
      </c>
      <c r="C2" s="4" t="s">
        <v>1</v>
      </c>
      <c r="D2" s="4" t="s">
        <v>2</v>
      </c>
      <c r="E2" s="4" t="s">
        <v>56</v>
      </c>
      <c r="G2" s="1" t="s">
        <v>64</v>
      </c>
      <c r="H2" s="1"/>
    </row>
    <row r="3" spans="1:9" ht="15" customHeight="1" x14ac:dyDescent="0.25">
      <c r="A3" s="19"/>
      <c r="B3" s="20"/>
      <c r="C3" s="20"/>
      <c r="D3" s="21" t="str">
        <f>IFERROR(INDEX(Categorías!$B$2:$B$18,MATCH(C3,Categorías!$A$2:$A$18,0)),"")</f>
        <v/>
      </c>
      <c r="E3" s="22"/>
      <c r="G3" s="5" t="str">
        <f>Categorías!A2</f>
        <v>Videojuegos</v>
      </c>
      <c r="H3" s="23">
        <f t="shared" ref="H3:H19" si="0">SUMIF($C$3:$C$32,G3,$E$3:$E$32)</f>
        <v>0</v>
      </c>
      <c r="I3" s="24" t="str">
        <f>Categorías!B2</f>
        <v>Ocio</v>
      </c>
    </row>
    <row r="4" spans="1:9" ht="15" customHeight="1" x14ac:dyDescent="0.25">
      <c r="A4" s="19"/>
      <c r="B4" s="20"/>
      <c r="C4" s="20"/>
      <c r="D4" s="21" t="str">
        <f>IFERROR(INDEX(Categorías!$B$2:$B$18,MATCH(C4,Categorías!$A$2:$A$18,0)),"")</f>
        <v/>
      </c>
      <c r="E4" s="22"/>
      <c r="G4" s="5" t="str">
        <f>Categorías!A3</f>
        <v>Apuestas</v>
      </c>
      <c r="H4" s="23">
        <f t="shared" si="0"/>
        <v>0</v>
      </c>
      <c r="I4" s="24" t="str">
        <f>Categorías!B3</f>
        <v>Ocio</v>
      </c>
    </row>
    <row r="5" spans="1:9" ht="15" customHeight="1" x14ac:dyDescent="0.25">
      <c r="A5" s="19"/>
      <c r="B5" s="20"/>
      <c r="C5" s="20"/>
      <c r="D5" s="21" t="str">
        <f>IFERROR(INDEX(Categorías!$B$2:$B$18,MATCH(C5,Categorías!$A$2:$A$18,0)),"")</f>
        <v/>
      </c>
      <c r="E5" s="22"/>
      <c r="G5" s="5" t="str">
        <f>Categorías!A4</f>
        <v>Salidas/Ocio</v>
      </c>
      <c r="H5" s="23">
        <f t="shared" si="0"/>
        <v>0</v>
      </c>
      <c r="I5" s="24" t="str">
        <f>Categorías!B4</f>
        <v>Ocio</v>
      </c>
    </row>
    <row r="6" spans="1:9" ht="15" customHeight="1" x14ac:dyDescent="0.25">
      <c r="A6" s="19"/>
      <c r="B6" s="20"/>
      <c r="C6" s="20"/>
      <c r="D6" s="21" t="str">
        <f>IFERROR(INDEX(Categorías!$B$2:$B$18,MATCH(C6,Categorías!$A$2:$A$18,0)),"")</f>
        <v/>
      </c>
      <c r="E6" s="22"/>
      <c r="G6" s="5" t="str">
        <f>Categorías!A5</f>
        <v>Suscripciones ocio</v>
      </c>
      <c r="H6" s="23">
        <f t="shared" si="0"/>
        <v>0</v>
      </c>
      <c r="I6" s="24" t="str">
        <f>Categorías!B5</f>
        <v>Ocio</v>
      </c>
    </row>
    <row r="7" spans="1:9" ht="15" customHeight="1" x14ac:dyDescent="0.25">
      <c r="A7" s="19"/>
      <c r="B7" s="20"/>
      <c r="C7" s="20"/>
      <c r="D7" s="21" t="str">
        <f>IFERROR(INDEX(Categorías!$B$2:$B$18,MATCH(C7,Categorías!$A$2:$A$18,0)),"")</f>
        <v/>
      </c>
      <c r="E7" s="22"/>
      <c r="G7" s="5" t="str">
        <f>Categorías!A6</f>
        <v>Viajes</v>
      </c>
      <c r="H7" s="23">
        <f t="shared" si="0"/>
        <v>0</v>
      </c>
      <c r="I7" s="24" t="str">
        <f>Categorías!B6</f>
        <v>Ocio</v>
      </c>
    </row>
    <row r="8" spans="1:9" ht="15" customHeight="1" x14ac:dyDescent="0.25">
      <c r="A8" s="19"/>
      <c r="B8" s="20"/>
      <c r="C8" s="20"/>
      <c r="D8" s="21" t="str">
        <f>IFERROR(INDEX(Categorías!$B$2:$B$18,MATCH(C8,Categorías!$A$2:$A$18,0)),"")</f>
        <v/>
      </c>
      <c r="E8" s="22"/>
      <c r="G8" s="5" t="str">
        <f>Categorías!A7</f>
        <v>Padel</v>
      </c>
      <c r="H8" s="23">
        <f t="shared" si="0"/>
        <v>0</v>
      </c>
      <c r="I8" s="24" t="str">
        <f>Categorías!B7</f>
        <v>Ocio</v>
      </c>
    </row>
    <row r="9" spans="1:9" ht="15" customHeight="1" x14ac:dyDescent="0.25">
      <c r="A9" s="19"/>
      <c r="B9" s="20"/>
      <c r="C9" s="20"/>
      <c r="D9" s="21" t="str">
        <f>IFERROR(INDEX(Categorías!$B$2:$B$18,MATCH(C9,Categorías!$A$2:$A$18,0)),"")</f>
        <v/>
      </c>
      <c r="E9" s="22"/>
      <c r="G9" s="5" t="str">
        <f>Categorías!A8</f>
        <v>Alimentación</v>
      </c>
      <c r="H9" s="23">
        <f t="shared" si="0"/>
        <v>0</v>
      </c>
      <c r="I9" s="24" t="str">
        <f>Categorías!B8</f>
        <v>Ocio</v>
      </c>
    </row>
    <row r="10" spans="1:9" ht="15" customHeight="1" x14ac:dyDescent="0.25">
      <c r="A10" s="19"/>
      <c r="B10" s="20"/>
      <c r="C10" s="20"/>
      <c r="D10" s="21" t="str">
        <f>IFERROR(INDEX(Categorías!$B$2:$B$18,MATCH(C10,Categorías!$A$2:$A$18,0)),"")</f>
        <v/>
      </c>
      <c r="E10" s="22"/>
      <c r="G10" s="5" t="str">
        <f>Categorías!A9</f>
        <v>Barça</v>
      </c>
      <c r="H10" s="23">
        <f t="shared" si="0"/>
        <v>0</v>
      </c>
      <c r="I10" s="24" t="str">
        <f>Categorías!B9</f>
        <v>Ocio</v>
      </c>
    </row>
    <row r="11" spans="1:9" ht="15" customHeight="1" x14ac:dyDescent="0.25">
      <c r="A11" s="19"/>
      <c r="B11" s="20"/>
      <c r="C11" s="20"/>
      <c r="D11" s="21" t="str">
        <f>IFERROR(INDEX(Categorías!$B$2:$B$18,MATCH(C11,Categorías!$A$2:$A$18,0)),"")</f>
        <v/>
      </c>
      <c r="E11" s="22"/>
      <c r="G11" s="5" t="str">
        <f>Categorías!A10</f>
        <v>Vivienda/Alquiler</v>
      </c>
      <c r="H11" s="23">
        <f t="shared" si="0"/>
        <v>0</v>
      </c>
      <c r="I11" s="24" t="str">
        <f>Categorías!B10</f>
        <v>Ordinario</v>
      </c>
    </row>
    <row r="12" spans="1:9" ht="15" customHeight="1" x14ac:dyDescent="0.25">
      <c r="A12" s="19"/>
      <c r="B12" s="20"/>
      <c r="C12" s="20"/>
      <c r="D12" s="21" t="str">
        <f>IFERROR(INDEX(Categorías!$B$2:$B$18,MATCH(C12,Categorías!$A$2:$A$18,0)),"")</f>
        <v/>
      </c>
      <c r="E12" s="22"/>
      <c r="G12" s="5" t="str">
        <f>Categorías!A11</f>
        <v>Transporte</v>
      </c>
      <c r="H12" s="23">
        <f t="shared" si="0"/>
        <v>0</v>
      </c>
      <c r="I12" s="24" t="str">
        <f>Categorías!B11</f>
        <v>Ordinario</v>
      </c>
    </row>
    <row r="13" spans="1:9" ht="15" customHeight="1" x14ac:dyDescent="0.25">
      <c r="A13" s="19"/>
      <c r="B13" s="20"/>
      <c r="C13" s="20"/>
      <c r="D13" s="21" t="str">
        <f>IFERROR(INDEX(Categorías!$B$2:$B$18,MATCH(C13,Categorías!$A$2:$A$18,0)),"")</f>
        <v/>
      </c>
      <c r="E13" s="22"/>
      <c r="G13" s="5" t="str">
        <f>Categorías!A12</f>
        <v>Salud</v>
      </c>
      <c r="H13" s="23">
        <f t="shared" si="0"/>
        <v>0</v>
      </c>
      <c r="I13" s="24" t="str">
        <f>Categorías!B12</f>
        <v>Ordinario</v>
      </c>
    </row>
    <row r="14" spans="1:9" ht="15" customHeight="1" x14ac:dyDescent="0.25">
      <c r="A14" s="19"/>
      <c r="B14" s="20"/>
      <c r="C14" s="20"/>
      <c r="D14" s="21" t="str">
        <f>IFERROR(INDEX(Categorías!$B$2:$B$18,MATCH(C14,Categorías!$A$2:$A$18,0)),"")</f>
        <v/>
      </c>
      <c r="E14" s="22"/>
      <c r="G14" s="5" t="str">
        <f>Categorías!A13</f>
        <v>Barbero</v>
      </c>
      <c r="H14" s="23">
        <f t="shared" si="0"/>
        <v>0</v>
      </c>
      <c r="I14" s="24" t="str">
        <f>Categorías!B13</f>
        <v>Ordinario</v>
      </c>
    </row>
    <row r="15" spans="1:9" ht="15" customHeight="1" x14ac:dyDescent="0.25">
      <c r="A15" s="19"/>
      <c r="B15" s="20"/>
      <c r="C15" s="20"/>
      <c r="D15" s="21" t="str">
        <f>IFERROR(INDEX(Categorías!$B$2:$B$18,MATCH(C15,Categorías!$A$2:$A$18,0)),"")</f>
        <v/>
      </c>
      <c r="E15" s="22"/>
      <c r="G15" s="5" t="str">
        <f>Categorías!A14</f>
        <v>Otros</v>
      </c>
      <c r="H15" s="23">
        <f t="shared" si="0"/>
        <v>0</v>
      </c>
      <c r="I15" s="24" t="str">
        <f>Categorías!B14</f>
        <v>Ordinario</v>
      </c>
    </row>
    <row r="16" spans="1:9" ht="15" customHeight="1" x14ac:dyDescent="0.25">
      <c r="A16" s="19"/>
      <c r="B16" s="20"/>
      <c r="C16" s="20"/>
      <c r="D16" s="21" t="str">
        <f>IFERROR(INDEX(Categorías!$B$2:$B$18,MATCH(C16,Categorías!$A$2:$A$18,0)),"")</f>
        <v/>
      </c>
      <c r="E16" s="22"/>
      <c r="G16" s="5" t="str">
        <f>Categorías!A15</f>
        <v>Burocracia</v>
      </c>
      <c r="H16" s="23">
        <f t="shared" si="0"/>
        <v>0</v>
      </c>
      <c r="I16" s="24" t="str">
        <f>Categorías!B15</f>
        <v>Extraordinario Inevitable</v>
      </c>
    </row>
    <row r="17" spans="1:9" ht="15" customHeight="1" x14ac:dyDescent="0.25">
      <c r="A17" s="19"/>
      <c r="B17" s="20"/>
      <c r="C17" s="20"/>
      <c r="D17" s="21" t="str">
        <f>IFERROR(INDEX(Categorías!$B$2:$B$18,MATCH(C17,Categorías!$A$2:$A$18,0)),"")</f>
        <v/>
      </c>
      <c r="E17" s="22"/>
      <c r="G17" s="25" t="str">
        <f>Categorías!A16</f>
        <v>Regalos</v>
      </c>
      <c r="H17" s="26">
        <f t="shared" si="0"/>
        <v>0</v>
      </c>
      <c r="I17" s="24" t="str">
        <f>Categorías!B16</f>
        <v>Extraordinario Evitable</v>
      </c>
    </row>
    <row r="18" spans="1:9" ht="15" customHeight="1" x14ac:dyDescent="0.25">
      <c r="A18" s="19"/>
      <c r="B18" s="20"/>
      <c r="C18" s="20"/>
      <c r="D18" s="21" t="str">
        <f>IFERROR(INDEX(Categorías!$B$2:$B$18,MATCH(C18,Categorías!$A$2:$A$18,0)),"")</f>
        <v/>
      </c>
      <c r="E18" s="22"/>
      <c r="G18" t="str">
        <f>Categorías!A17</f>
        <v>Multas</v>
      </c>
      <c r="H18" s="15">
        <f t="shared" si="0"/>
        <v>0</v>
      </c>
      <c r="I18" t="str">
        <f>Categorías!B17</f>
        <v>Extraordinario Evitable</v>
      </c>
    </row>
    <row r="19" spans="1:9" ht="15" customHeight="1" x14ac:dyDescent="0.25">
      <c r="A19" s="19"/>
      <c r="B19" s="20"/>
      <c r="C19" s="20"/>
      <c r="D19" s="21" t="str">
        <f>IFERROR(INDEX(Categorías!$B$2:$B$18,MATCH(C19,Categorías!$A$2:$A$18,0)),"")</f>
        <v/>
      </c>
      <c r="E19" s="22"/>
      <c r="G19" t="str">
        <f>Categorías!A18</f>
        <v>Otros extraordinarios</v>
      </c>
      <c r="H19" s="15">
        <f t="shared" si="0"/>
        <v>0</v>
      </c>
      <c r="I19" t="str">
        <f>Categorías!B18</f>
        <v>Extraordinario Inevitable</v>
      </c>
    </row>
    <row r="20" spans="1:9" ht="15" customHeight="1" x14ac:dyDescent="0.25">
      <c r="A20" s="19"/>
      <c r="B20" s="20"/>
      <c r="C20" s="20"/>
      <c r="D20" s="21" t="str">
        <f>IFERROR(INDEX(Categorías!$B$2:$B$18,MATCH(C20,Categorías!$A$2:$A$18,0)),"")</f>
        <v/>
      </c>
      <c r="E20" s="22"/>
      <c r="G20" s="11"/>
      <c r="H20" s="27"/>
    </row>
    <row r="21" spans="1:9" ht="15" customHeight="1" x14ac:dyDescent="0.25">
      <c r="A21" s="19"/>
      <c r="B21" s="20"/>
      <c r="C21" s="20"/>
      <c r="D21" s="21" t="str">
        <f>IFERROR(INDEX(Categorías!$B$2:$B$18,MATCH(C21,Categorías!$A$2:$A$18,0)),"")</f>
        <v/>
      </c>
      <c r="E21" s="22"/>
      <c r="G21" s="11" t="s">
        <v>35</v>
      </c>
      <c r="H21" s="27">
        <f>SUMIF($I$3:$I$19,"Ocio",$H$3:$H$19)</f>
        <v>0</v>
      </c>
    </row>
    <row r="22" spans="1:9" ht="15" customHeight="1" x14ac:dyDescent="0.25">
      <c r="A22" s="19"/>
      <c r="B22" s="20"/>
      <c r="C22" s="20"/>
      <c r="D22" s="21" t="str">
        <f>IFERROR(INDEX(Categorías!$B$2:$B$18,MATCH(C22,Categorías!$A$2:$A$18,0)),"")</f>
        <v/>
      </c>
      <c r="E22" s="22"/>
      <c r="G22" s="11" t="s">
        <v>36</v>
      </c>
      <c r="H22" s="27">
        <f>SUMIF($I$3:$I$19,"Ordinario",$H$3:$H$19)</f>
        <v>0</v>
      </c>
    </row>
    <row r="23" spans="1:9" ht="15" customHeight="1" x14ac:dyDescent="0.25">
      <c r="A23" s="19"/>
      <c r="B23" s="20"/>
      <c r="C23" s="20"/>
      <c r="D23" s="21" t="str">
        <f>IFERROR(INDEX(Categorías!$B$2:$B$18,MATCH(C23,Categorías!$A$2:$A$18,0)),"")</f>
        <v/>
      </c>
      <c r="E23" s="22"/>
      <c r="G23" s="11" t="s">
        <v>37</v>
      </c>
      <c r="H23" s="27">
        <f>SUMIF($I$3:$I$19,"Extraordinario*",$H$3:$H$19)</f>
        <v>0</v>
      </c>
    </row>
    <row r="24" spans="1:9" ht="15" customHeight="1" x14ac:dyDescent="0.25">
      <c r="A24" s="19"/>
      <c r="B24" s="20"/>
      <c r="C24" s="20"/>
      <c r="D24" s="21" t="str">
        <f>IFERROR(INDEX(Categorías!$B$2:$B$18,MATCH(C24,Categorías!$A$2:$A$18,0)),"")</f>
        <v/>
      </c>
      <c r="E24" s="22"/>
      <c r="G24" s="11" t="s">
        <v>38</v>
      </c>
      <c r="H24" s="27">
        <f>SUMIF($I$3:$I$19,"Extraordinario Evitable",$H$3:$H$19)</f>
        <v>0</v>
      </c>
    </row>
    <row r="25" spans="1:9" ht="15" customHeight="1" x14ac:dyDescent="0.25">
      <c r="A25" s="19"/>
      <c r="B25" s="20"/>
      <c r="C25" s="20"/>
      <c r="D25" s="21" t="str">
        <f>IFERROR(INDEX(Categorías!$B$2:$B$18,MATCH(C25,Categorías!$A$2:$A$18,0)),"")</f>
        <v/>
      </c>
      <c r="E25" s="22"/>
      <c r="G25" s="11" t="s">
        <v>39</v>
      </c>
      <c r="H25" s="27">
        <f>SUMIF($I$3:$I$19,"Extraordinario Inevitable",$H$3:$H$19)</f>
        <v>0</v>
      </c>
    </row>
    <row r="26" spans="1:9" ht="15" customHeight="1" x14ac:dyDescent="0.25">
      <c r="A26" s="19"/>
      <c r="B26" s="20"/>
      <c r="C26" s="20"/>
      <c r="D26" s="21" t="str">
        <f>IFERROR(INDEX(Categorías!$B$2:$B$18,MATCH(C26,Categorías!$A$2:$A$18,0)),"")</f>
        <v/>
      </c>
      <c r="E26" s="22"/>
      <c r="G26" s="11" t="s">
        <v>65</v>
      </c>
      <c r="H26" s="27">
        <f>SUM($E$3:$E$32)</f>
        <v>0</v>
      </c>
    </row>
    <row r="27" spans="1:9" ht="15" customHeight="1" x14ac:dyDescent="0.25">
      <c r="A27" s="19"/>
      <c r="B27" s="20"/>
      <c r="C27" s="20"/>
      <c r="D27" s="21" t="str">
        <f>IFERROR(INDEX(Categorías!$B$2:$B$18,MATCH(C27,Categorías!$A$2:$A$18,0)),"")</f>
        <v/>
      </c>
      <c r="E27" s="22"/>
    </row>
    <row r="28" spans="1:9" ht="15" customHeight="1" x14ac:dyDescent="0.25">
      <c r="A28" s="19"/>
      <c r="B28" s="20"/>
      <c r="C28" s="20"/>
      <c r="D28" s="21" t="str">
        <f>IFERROR(INDEX(Categorías!$B$2:$B$18,MATCH(C28,Categorías!$A$2:$A$18,0)),"")</f>
        <v/>
      </c>
      <c r="E28" s="22"/>
    </row>
    <row r="29" spans="1:9" ht="15" customHeight="1" x14ac:dyDescent="0.25">
      <c r="A29" s="19"/>
      <c r="B29" s="20"/>
      <c r="C29" s="20"/>
      <c r="D29" s="21" t="str">
        <f>IFERROR(INDEX(Categorías!$B$2:$B$18,MATCH(C29,Categorías!$A$2:$A$18,0)),"")</f>
        <v/>
      </c>
      <c r="E29" s="22"/>
    </row>
    <row r="30" spans="1:9" ht="15" customHeight="1" x14ac:dyDescent="0.25">
      <c r="A30" s="19"/>
      <c r="B30" s="20"/>
      <c r="C30" s="20"/>
      <c r="D30" s="21" t="str">
        <f>IFERROR(INDEX(Categorías!$B$2:$B$18,MATCH(C30,Categorías!$A$2:$A$18,0)),"")</f>
        <v/>
      </c>
      <c r="E30" s="22"/>
    </row>
    <row r="31" spans="1:9" ht="15" customHeight="1" x14ac:dyDescent="0.25">
      <c r="A31" s="19"/>
      <c r="B31" s="20"/>
      <c r="C31" s="20"/>
      <c r="D31" s="21" t="str">
        <f>IFERROR(INDEX(Categorías!$B$2:$B$18,MATCH(C31,Categorías!$A$2:$A$18,0)),"")</f>
        <v/>
      </c>
      <c r="E31" s="22"/>
    </row>
    <row r="32" spans="1:9" ht="15" customHeight="1" x14ac:dyDescent="0.25">
      <c r="A32" s="19"/>
      <c r="B32" s="20"/>
      <c r="C32" s="20"/>
      <c r="D32" s="21" t="str">
        <f>IFERROR(INDEX(Categorías!$B$2:$B$18,MATCH(C32,Categorías!$A$2:$A$18,0)),"")</f>
        <v/>
      </c>
      <c r="E32" s="22"/>
    </row>
  </sheetData>
  <mergeCells count="2">
    <mergeCell ref="A1:E1"/>
    <mergeCell ref="G2:H2"/>
  </mergeCells>
  <conditionalFormatting sqref="E3:E32">
    <cfRule type="dataBar" priority="2">
      <dataBar>
        <cfvo type="min"/>
        <cfvo type="max"/>
        <color rgb="FFFC605C"/>
      </dataBar>
      <extLst>
        <ext xmlns:x14="http://schemas.microsoft.com/office/spreadsheetml/2009/9/main" uri="{B025F937-C7B1-47D3-B67F-A62EFF666E3E}">
          <x14:id>{5D859DF3-A0EF-42A9-A17A-CA16286B5BF0}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859DF3-A0EF-42A9-A17A-CA16286B5BF0}">
            <x14:dataBar axisPosition="none">
              <x14:cfvo type="min"/>
              <x14:cfvo type="max"/>
              <x14:negativeFillColor rgb="FFFC605C"/>
            </x14:dataBar>
          </x14:cfRule>
          <xm:sqref>E3:E32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Visión General</vt:lpstr>
      <vt:lpstr>Instrucciones</vt:lpstr>
      <vt:lpstr>Categorías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Mario</cp:lastModifiedBy>
  <cp:revision>6</cp:revision>
  <dcterms:created xsi:type="dcterms:W3CDTF">2026-07-31T09:23:16Z</dcterms:created>
  <dcterms:modified xsi:type="dcterms:W3CDTF">2026-09-12T10:33:46Z</dcterms:modified>
  <dc:language>en-US</dc:language>
</cp:coreProperties>
</file>