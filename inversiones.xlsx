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g\Documents\GitHub\inversiones\"/>
    </mc:Choice>
  </mc:AlternateContent>
  <xr:revisionPtr revIDLastSave="0" documentId="13_ncr:1_{1A8F11B1-AA28-48F6-AE24-7A44738EBC4C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Registro_Mensual" sheetId="1" r:id="rId1"/>
    <sheet name="Resumen" sheetId="2" r:id="rId2"/>
    <sheet name="Beneficios bols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3" l="1"/>
  <c r="B9" i="2"/>
  <c r="B5" i="2"/>
  <c r="H63" i="1"/>
  <c r="G63" i="1"/>
  <c r="I63" i="1" s="1"/>
  <c r="E63" i="1"/>
  <c r="H62" i="1"/>
  <c r="G62" i="1"/>
  <c r="I62" i="1" s="1"/>
  <c r="E62" i="1"/>
  <c r="H61" i="1"/>
  <c r="G61" i="1"/>
  <c r="I61" i="1" s="1"/>
  <c r="E61" i="1"/>
  <c r="H60" i="1"/>
  <c r="G60" i="1"/>
  <c r="I60" i="1" s="1"/>
  <c r="E60" i="1"/>
  <c r="H59" i="1"/>
  <c r="G59" i="1"/>
  <c r="I59" i="1" s="1"/>
  <c r="E59" i="1"/>
  <c r="H58" i="1"/>
  <c r="G58" i="1"/>
  <c r="I58" i="1" s="1"/>
  <c r="E58" i="1"/>
  <c r="H57" i="1"/>
  <c r="G57" i="1"/>
  <c r="I57" i="1" s="1"/>
  <c r="E57" i="1"/>
  <c r="H56" i="1"/>
  <c r="G56" i="1"/>
  <c r="I56" i="1" s="1"/>
  <c r="E56" i="1"/>
  <c r="H55" i="1"/>
  <c r="G55" i="1"/>
  <c r="I55" i="1" s="1"/>
  <c r="E55" i="1"/>
  <c r="H54" i="1"/>
  <c r="G54" i="1"/>
  <c r="I54" i="1" s="1"/>
  <c r="E54" i="1"/>
  <c r="H53" i="1"/>
  <c r="G53" i="1"/>
  <c r="I53" i="1" s="1"/>
  <c r="E53" i="1"/>
  <c r="H52" i="1"/>
  <c r="G52" i="1"/>
  <c r="I52" i="1" s="1"/>
  <c r="E52" i="1"/>
  <c r="H51" i="1"/>
  <c r="G51" i="1"/>
  <c r="I51" i="1" s="1"/>
  <c r="E51" i="1"/>
  <c r="H50" i="1"/>
  <c r="G50" i="1"/>
  <c r="I50" i="1" s="1"/>
  <c r="E50" i="1"/>
  <c r="H49" i="1"/>
  <c r="G49" i="1"/>
  <c r="I49" i="1" s="1"/>
  <c r="E49" i="1"/>
  <c r="H48" i="1"/>
  <c r="G48" i="1"/>
  <c r="I48" i="1" s="1"/>
  <c r="E48" i="1"/>
  <c r="H47" i="1"/>
  <c r="G47" i="1"/>
  <c r="I47" i="1" s="1"/>
  <c r="E47" i="1"/>
  <c r="H46" i="1"/>
  <c r="G46" i="1"/>
  <c r="I46" i="1" s="1"/>
  <c r="E46" i="1"/>
  <c r="H45" i="1"/>
  <c r="G45" i="1"/>
  <c r="I45" i="1" s="1"/>
  <c r="E45" i="1"/>
  <c r="H44" i="1"/>
  <c r="G44" i="1"/>
  <c r="I44" i="1" s="1"/>
  <c r="E44" i="1"/>
  <c r="H43" i="1"/>
  <c r="G43" i="1"/>
  <c r="I43" i="1" s="1"/>
  <c r="E43" i="1"/>
  <c r="H42" i="1"/>
  <c r="G42" i="1"/>
  <c r="I42" i="1" s="1"/>
  <c r="E42" i="1"/>
  <c r="H41" i="1"/>
  <c r="G41" i="1"/>
  <c r="I41" i="1" s="1"/>
  <c r="E41" i="1"/>
  <c r="H40" i="1"/>
  <c r="G40" i="1"/>
  <c r="I40" i="1" s="1"/>
  <c r="E40" i="1"/>
  <c r="H39" i="1"/>
  <c r="G39" i="1"/>
  <c r="I39" i="1" s="1"/>
  <c r="E39" i="1"/>
  <c r="H38" i="1"/>
  <c r="G38" i="1"/>
  <c r="I38" i="1" s="1"/>
  <c r="E38" i="1"/>
  <c r="H37" i="1"/>
  <c r="G37" i="1"/>
  <c r="I37" i="1" s="1"/>
  <c r="E37" i="1"/>
  <c r="H36" i="1"/>
  <c r="G36" i="1"/>
  <c r="I36" i="1" s="1"/>
  <c r="E36" i="1"/>
  <c r="H35" i="1"/>
  <c r="G35" i="1"/>
  <c r="I35" i="1" s="1"/>
  <c r="E35" i="1"/>
  <c r="H34" i="1"/>
  <c r="G34" i="1"/>
  <c r="I34" i="1" s="1"/>
  <c r="E34" i="1"/>
  <c r="H33" i="1"/>
  <c r="G33" i="1"/>
  <c r="B4" i="2" s="1"/>
  <c r="E33" i="1"/>
  <c r="H32" i="1"/>
  <c r="G32" i="1"/>
  <c r="I32" i="1" s="1"/>
  <c r="E32" i="1"/>
  <c r="H31" i="1"/>
  <c r="G31" i="1"/>
  <c r="I31" i="1" s="1"/>
  <c r="E31" i="1"/>
  <c r="H30" i="1"/>
  <c r="G30" i="1"/>
  <c r="I30" i="1" s="1"/>
  <c r="E30" i="1"/>
  <c r="H29" i="1"/>
  <c r="G29" i="1"/>
  <c r="I29" i="1" s="1"/>
  <c r="E29" i="1"/>
  <c r="H28" i="1"/>
  <c r="G28" i="1"/>
  <c r="I28" i="1" s="1"/>
  <c r="E28" i="1"/>
  <c r="H27" i="1"/>
  <c r="G27" i="1"/>
  <c r="I27" i="1" s="1"/>
  <c r="E27" i="1"/>
  <c r="H26" i="1"/>
  <c r="G26" i="1"/>
  <c r="I26" i="1" s="1"/>
  <c r="E26" i="1"/>
  <c r="H25" i="1"/>
  <c r="G25" i="1"/>
  <c r="I25" i="1" s="1"/>
  <c r="E25" i="1"/>
  <c r="H24" i="1"/>
  <c r="G24" i="1"/>
  <c r="I24" i="1" s="1"/>
  <c r="E24" i="1"/>
  <c r="H23" i="1"/>
  <c r="G23" i="1"/>
  <c r="I23" i="1" s="1"/>
  <c r="E23" i="1"/>
  <c r="H22" i="1"/>
  <c r="G22" i="1"/>
  <c r="I22" i="1" s="1"/>
  <c r="E22" i="1"/>
  <c r="H21" i="1"/>
  <c r="G21" i="1"/>
  <c r="I21" i="1" s="1"/>
  <c r="E21" i="1"/>
  <c r="H20" i="1"/>
  <c r="G20" i="1"/>
  <c r="I20" i="1" s="1"/>
  <c r="E20" i="1"/>
  <c r="H19" i="1"/>
  <c r="G19" i="1"/>
  <c r="I19" i="1" s="1"/>
  <c r="E19" i="1"/>
  <c r="H18" i="1"/>
  <c r="G18" i="1"/>
  <c r="I18" i="1" s="1"/>
  <c r="E18" i="1"/>
  <c r="H17" i="1"/>
  <c r="G17" i="1"/>
  <c r="I17" i="1" s="1"/>
  <c r="E17" i="1"/>
  <c r="H16" i="1"/>
  <c r="G16" i="1"/>
  <c r="I16" i="1" s="1"/>
  <c r="E16" i="1"/>
  <c r="H15" i="1"/>
  <c r="G15" i="1"/>
  <c r="I15" i="1" s="1"/>
  <c r="E15" i="1"/>
  <c r="H14" i="1"/>
  <c r="G14" i="1"/>
  <c r="I14" i="1" s="1"/>
  <c r="E14" i="1"/>
  <c r="H13" i="1"/>
  <c r="G13" i="1"/>
  <c r="I13" i="1" s="1"/>
  <c r="E13" i="1"/>
  <c r="H12" i="1"/>
  <c r="G12" i="1"/>
  <c r="I12" i="1" s="1"/>
  <c r="E12" i="1"/>
  <c r="H11" i="1"/>
  <c r="G11" i="1"/>
  <c r="I11" i="1" s="1"/>
  <c r="E11" i="1"/>
  <c r="H10" i="1"/>
  <c r="G10" i="1"/>
  <c r="I10" i="1" s="1"/>
  <c r="E10" i="1"/>
  <c r="H9" i="1"/>
  <c r="G9" i="1"/>
  <c r="I9" i="1" s="1"/>
  <c r="E9" i="1"/>
  <c r="H8" i="1"/>
  <c r="G8" i="1"/>
  <c r="I8" i="1" s="1"/>
  <c r="E8" i="1"/>
  <c r="H7" i="1"/>
  <c r="G7" i="1"/>
  <c r="I7" i="1" s="1"/>
  <c r="E7" i="1"/>
  <c r="G6" i="1"/>
  <c r="I6" i="1" s="1"/>
  <c r="E6" i="1"/>
  <c r="G5" i="1"/>
  <c r="I5" i="1" s="1"/>
  <c r="E5" i="1"/>
  <c r="G4" i="1"/>
  <c r="I4" i="1" s="1"/>
  <c r="E4" i="1"/>
  <c r="H4" i="1" l="1"/>
  <c r="H5" i="1"/>
  <c r="J7" i="1"/>
  <c r="H6" i="1"/>
  <c r="J62" i="1"/>
  <c r="I33" i="1"/>
  <c r="B7" i="2"/>
  <c r="J31" i="1"/>
  <c r="J19" i="1"/>
  <c r="J12" i="1"/>
  <c r="J60" i="1"/>
  <c r="B8" i="2"/>
  <c r="E5" i="2" s="1"/>
  <c r="J5" i="1"/>
  <c r="J17" i="1"/>
  <c r="J29" i="1"/>
  <c r="J41" i="1"/>
  <c r="J53" i="1"/>
  <c r="J43" i="1"/>
  <c r="J55" i="1"/>
  <c r="J24" i="1"/>
  <c r="J48" i="1"/>
  <c r="J22" i="1"/>
  <c r="J34" i="1"/>
  <c r="J46" i="1"/>
  <c r="J58" i="1"/>
  <c r="J36" i="1"/>
  <c r="J10" i="1"/>
  <c r="J15" i="1"/>
  <c r="J27" i="1"/>
  <c r="J39" i="1"/>
  <c r="J51" i="1"/>
  <c r="J63" i="1"/>
  <c r="J8" i="1"/>
  <c r="J20" i="1"/>
  <c r="J56" i="1"/>
  <c r="J6" i="1"/>
  <c r="J18" i="1"/>
  <c r="J30" i="1"/>
  <c r="J42" i="1"/>
  <c r="J54" i="1"/>
  <c r="J25" i="1"/>
  <c r="J61" i="1"/>
  <c r="J11" i="1"/>
  <c r="J23" i="1"/>
  <c r="J35" i="1"/>
  <c r="J47" i="1"/>
  <c r="J59" i="1"/>
  <c r="B6" i="2"/>
  <c r="J4" i="1"/>
  <c r="J16" i="1"/>
  <c r="J28" i="1"/>
  <c r="J40" i="1"/>
  <c r="J52" i="1"/>
  <c r="J32" i="1"/>
  <c r="J44" i="1"/>
  <c r="J9" i="1"/>
  <c r="J21" i="1"/>
  <c r="J33" i="1"/>
  <c r="J45" i="1"/>
  <c r="J57" i="1"/>
  <c r="J13" i="1"/>
  <c r="J37" i="1"/>
  <c r="J49" i="1"/>
  <c r="J14" i="1"/>
  <c r="J26" i="1"/>
  <c r="J38" i="1"/>
  <c r="J50" i="1"/>
  <c r="F11" i="2" l="1"/>
  <c r="E11" i="2"/>
  <c r="F7" i="2"/>
  <c r="F10" i="2"/>
  <c r="E7" i="2"/>
  <c r="E10" i="2"/>
  <c r="F9" i="2"/>
  <c r="E9" i="2"/>
  <c r="G9" i="2" s="1"/>
  <c r="F8" i="2"/>
  <c r="E8" i="2"/>
  <c r="G11" i="2" l="1"/>
  <c r="G10" i="2"/>
  <c r="G7" i="2"/>
  <c r="G8" i="2"/>
</calcChain>
</file>

<file path=xl/sharedStrings.xml><?xml version="1.0" encoding="utf-8"?>
<sst xmlns="http://schemas.openxmlformats.org/spreadsheetml/2006/main" count="57" uniqueCount="51">
  <si>
    <t>📈 SEGUIMIENTO DE INVERSIONES — S&amp;P 500</t>
  </si>
  <si>
    <t>Introduce cada mes: fecha, dinero aportado y valor actual de tu cartera</t>
  </si>
  <si>
    <t>Mes</t>
  </si>
  <si>
    <t>Fecha</t>
  </si>
  <si>
    <t>Aportación
(€)</t>
  </si>
  <si>
    <t>Comisión
(€)</t>
  </si>
  <si>
    <t>Líquido
Invertido (€)</t>
  </si>
  <si>
    <t>Valor Cartera
(€)</t>
  </si>
  <si>
    <t>Total Invertido
(€)</t>
  </si>
  <si>
    <t>Ganancia /
Pérdida (€)</t>
  </si>
  <si>
    <t>Rentabilidad
(%)</t>
  </si>
  <si>
    <t>Aportación
Media (€)</t>
  </si>
  <si>
    <t>Nota</t>
  </si>
  <si>
    <t>Primera aportación 🚀</t>
  </si>
  <si>
    <t>📊 RESUMEN DE TU INVERSIÓN EN S&amp;P 500</t>
  </si>
  <si>
    <t>Los datos se actualizan solos cuando rellenas el Registro Mensual</t>
  </si>
  <si>
    <t>💰 TU DINERO</t>
  </si>
  <si>
    <t>🔮 PROYECCIÓN SIMPLE</t>
  </si>
  <si>
    <t>Acumulado
Invertido</t>
  </si>
  <si>
    <t>Beneficio
Esperado</t>
  </si>
  <si>
    <t>Total aportado hasta hoy</t>
  </si>
  <si>
    <t>Simulación asumiendo rentabilidad histórica ~8% anual del S&amp;P 500</t>
  </si>
  <si>
    <t>Valor actual de la cartera</t>
  </si>
  <si>
    <t>Aportación mensual estimada</t>
  </si>
  <si>
    <t>Ganancia / Pérdida total</t>
  </si>
  <si>
    <t>Rentabilidad anual asumida</t>
  </si>
  <si>
    <t>Rentabilidad total</t>
  </si>
  <si>
    <t>En 5 años tendrías aprox.</t>
  </si>
  <si>
    <t>Aportación media mensual</t>
  </si>
  <si>
    <t>En 10 años tendrías aprox.</t>
  </si>
  <si>
    <t>Meses registrados</t>
  </si>
  <si>
    <t>En 20 años tendrías aprox.</t>
  </si>
  <si>
    <t>💡 Verde = ganancia · Rojo = pérdida</t>
  </si>
  <si>
    <t>En 30 años tendrías aprox.</t>
  </si>
  <si>
    <t>⚠️ Proyección orientativa. La rentabilidad pasada no garantiza la futura.</t>
  </si>
  <si>
    <t>📚 CONSEJOS PARA INVERTIR A LARGO PLAZO</t>
  </si>
  <si>
    <t>✅  Invierte una cantidad fija cada mes, sin importar si el mercado sube o baja (esto se llama 'Dollar Cost Averaging').</t>
  </si>
  <si>
    <t>✅  No mires la cartera cada día — el S&amp;P 500 tiene caídas frecuentes pero históricamente siempre ha subido a largo plazo.</t>
  </si>
  <si>
    <t>✅  Si en algún mes no puedes aportar, no pasa nada. Lo importante es la constancia a lo largo de los años.</t>
  </si>
  <si>
    <t>✅  Intenta no retirar el dinero cuando haya caídas — vender en rojo convierte las pérdidas temporales en pérdidas reales.</t>
  </si>
  <si>
    <t>✅  Rellena la columna 'Valor Cartera' una vez al mes para ver tu progreso real.</t>
  </si>
  <si>
    <t>En 40 años tendrías aprox.</t>
  </si>
  <si>
    <t>Coca Cola</t>
  </si>
  <si>
    <t>2026 TOTAL</t>
  </si>
  <si>
    <t>Allianz</t>
  </si>
  <si>
    <t>SP500</t>
  </si>
  <si>
    <t>Mercado</t>
  </si>
  <si>
    <t>Registro 2026</t>
  </si>
  <si>
    <t>Balance</t>
  </si>
  <si>
    <t>Fecha venta</t>
  </si>
  <si>
    <t>Balance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</si>
</sst>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&quot; €&quot;"/>
    <numFmt numFmtId="165" formatCode="0.0%"/>
    <numFmt numFmtId="173" formatCode="_-* #,##0\ &quot;€&quot;_-;\-* #,##0\ &quot;€&quot;_-;_-* &quot;-&quot;??\ &quot;€&quot;_-;_-@_-"/>
    <numFmt numFmtId="174" formatCode="_-* #,##0.00\ [$€-C0A]_-;\-* #,##0.00\ [$€-C0A]_-;_-* &quot;-&quot;??\ [$€-C0A]_-;_-@_-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2E75B6"/>
      <name val="Arial"/>
      <charset val="1"/>
    </font>
    <font>
      <b/>
      <sz val="10"/>
      <color rgb="FFFFFFFF"/>
      <name val="Arial"/>
      <charset val="1"/>
    </font>
    <font>
      <b/>
      <sz val="10"/>
      <color rgb="FF2E75B6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333333"/>
      <name val="Arial"/>
      <charset val="1"/>
    </font>
    <font>
      <sz val="10"/>
      <color rgb="FF1A1A1A"/>
      <name val="Arial"/>
      <charset val="1"/>
    </font>
    <font>
      <i/>
      <sz val="8"/>
      <color rgb="FF555555"/>
      <name val="Arial"/>
      <charset val="1"/>
    </font>
    <font>
      <i/>
      <sz val="9"/>
      <color rgb="FF555555"/>
      <name val="Arial"/>
      <charset val="1"/>
    </font>
    <font>
      <i/>
      <sz val="8"/>
      <color rgb="FFC0392B"/>
      <name val="Arial"/>
      <charset val="1"/>
    </font>
    <font>
      <sz val="9"/>
      <color rgb="FF1A1A1A"/>
      <name val="Arial"/>
      <charset val="1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AF8"/>
        <bgColor rgb="FFEBF3FB"/>
      </patternFill>
    </fill>
    <fill>
      <patternFill patternType="solid">
        <fgColor rgb="FFFFFFFF"/>
        <bgColor rgb="FFFDFEFE"/>
      </patternFill>
    </fill>
    <fill>
      <patternFill patternType="solid">
        <fgColor rgb="FFEBF3FB"/>
        <bgColor rgb="FFEBF5FB"/>
      </patternFill>
    </fill>
    <fill>
      <patternFill patternType="solid">
        <fgColor rgb="FFF2F9FF"/>
        <bgColor rgb="FFEBF5FB"/>
      </patternFill>
    </fill>
    <fill>
      <patternFill patternType="solid">
        <fgColor rgb="FF2E75B6"/>
        <bgColor rgb="FF2471A3"/>
      </patternFill>
    </fill>
    <fill>
      <patternFill patternType="solid">
        <fgColor rgb="FFEBF5FB"/>
        <bgColor rgb="FFEBF3FB"/>
      </patternFill>
    </fill>
    <fill>
      <patternFill patternType="solid">
        <fgColor rgb="FF2471A3"/>
        <bgColor rgb="FF2E75B6"/>
      </patternFill>
    </fill>
    <fill>
      <patternFill patternType="solid">
        <fgColor rgb="FFFDFEFE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46">
    <xf numFmtId="0" fontId="0" fillId="0" borderId="0" xfId="0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0" fillId="8" borderId="0" xfId="0" applyFill="1"/>
    <xf numFmtId="165" fontId="5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16" fontId="0" fillId="0" borderId="0" xfId="0" applyNumberFormat="1"/>
    <xf numFmtId="173" fontId="0" fillId="0" borderId="0" xfId="1" applyNumberFormat="1" applyFont="1"/>
    <xf numFmtId="173" fontId="0" fillId="11" borderId="3" xfId="1" applyNumberFormat="1" applyFont="1" applyFill="1" applyBorder="1"/>
    <xf numFmtId="0" fontId="0" fillId="0" borderId="4" xfId="0" applyBorder="1"/>
    <xf numFmtId="173" fontId="0" fillId="0" borderId="5" xfId="1" applyNumberFormat="1" applyFont="1" applyBorder="1"/>
    <xf numFmtId="0" fontId="0" fillId="0" borderId="8" xfId="0" applyBorder="1"/>
    <xf numFmtId="173" fontId="0" fillId="0" borderId="9" xfId="1" applyNumberFormat="1" applyFont="1" applyBorder="1"/>
    <xf numFmtId="0" fontId="0" fillId="0" borderId="6" xfId="0" applyBorder="1"/>
    <xf numFmtId="0" fontId="0" fillId="11" borderId="5" xfId="0" applyFill="1" applyBorder="1" applyAlignment="1">
      <alignment horizontal="center"/>
    </xf>
    <xf numFmtId="173" fontId="0" fillId="0" borderId="7" xfId="1" applyNumberFormat="1" applyFont="1" applyBorder="1"/>
    <xf numFmtId="174" fontId="0" fillId="0" borderId="0" xfId="0" applyNumberFormat="1"/>
    <xf numFmtId="0" fontId="0" fillId="12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7">
    <dxf>
      <numFmt numFmtId="174" formatCode="_-* #,##0.00\ [$€-C0A]_-;\-* #,##0.00\ [$€-C0A]_-;_-* &quot;-&quot;??\ [$€-C0A]_-;_-@_-"/>
    </dxf>
    <dxf>
      <numFmt numFmtId="21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3" formatCode="_-* #,##0\ &quot;€&quot;_-;\-* #,##0\ &quot;€&quot;_-;_-* &quot;-&quot;??\ &quot;€&quot;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FEFE"/>
      <rgbColor rgb="FFD6EAF8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BF3FB"/>
      <rgbColor rgb="FFF2F9FF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1A1A1A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61EA0-38CE-405F-999E-E678479A76FE}" name="Tabla3" displayName="Tabla3" ref="B2:C11" totalsRowShown="0" headerRowBorderDxfId="5" tableBorderDxfId="6" totalsRowBorderDxfId="4">
  <autoFilter ref="B2:C11" xr:uid="{43361EA0-38CE-405F-999E-E678479A76FE}"/>
  <tableColumns count="2">
    <tableColumn id="1" xr3:uid="{5452176F-36B8-4CDD-9F33-5D70AA66A550}" name="Mercado" dataDxfId="3"/>
    <tableColumn id="3" xr3:uid="{AA88D4F0-70F9-4823-81E5-D366BE0621A3}" name="Balance" dataDxfId="2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EF1798-5DBC-4CC2-BF2B-D1627830BBD8}" name="Tabla4" displayName="Tabla4" ref="E2:G6" totalsRowShown="0">
  <autoFilter ref="E2:G6" xr:uid="{E0EF1798-5DBC-4CC2-BF2B-D1627830BBD8}"/>
  <tableColumns count="3">
    <tableColumn id="1" xr3:uid="{D7244F53-013B-49D1-84D7-0E66C32F39B4}" name="Mercado"/>
    <tableColumn id="2" xr3:uid="{28786B65-FA4E-4DA6-9569-A775903889EB}" name="Fecha venta" dataDxfId="1"/>
    <tableColumn id="3" xr3:uid="{00894C4B-3E6A-4755-9F14-59B8AD97246A}" name="Bal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zoomScaleNormal="100" workbookViewId="0">
      <pane ySplit="3" topLeftCell="A4" activePane="bottomLeft" state="frozen"/>
      <selection pane="bottomLeft" activeCell="G7" sqref="G7"/>
    </sheetView>
  </sheetViews>
  <sheetFormatPr baseColWidth="10" defaultColWidth="8.7109375" defaultRowHeight="15" x14ac:dyDescent="0.25"/>
  <cols>
    <col min="1" max="1" width="12" customWidth="1"/>
    <col min="2" max="2" width="13" customWidth="1"/>
    <col min="3" max="8" width="14" customWidth="1"/>
    <col min="9" max="9" width="20" customWidth="1"/>
    <col min="10" max="10" width="10.85546875" bestFit="1" customWidth="1"/>
    <col min="11" max="11" width="19.85546875" bestFit="1" customWidth="1"/>
  </cols>
  <sheetData>
    <row r="1" spans="1:11" ht="31.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11" ht="15.7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11" ht="30" customHeight="1" x14ac:dyDescent="0.25">
      <c r="A3" s="2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8" customHeight="1" x14ac:dyDescent="0.25">
      <c r="A4" s="4">
        <v>1</v>
      </c>
      <c r="B4" s="5">
        <v>46119</v>
      </c>
      <c r="C4" s="6">
        <v>100</v>
      </c>
      <c r="D4" s="7">
        <v>3</v>
      </c>
      <c r="E4" s="8">
        <f t="shared" ref="E4:E35" si="0">C4-D4</f>
        <v>97</v>
      </c>
      <c r="F4" s="6">
        <v>97</v>
      </c>
      <c r="G4" s="9">
        <f>SUM($C$4:C4)</f>
        <v>100</v>
      </c>
      <c r="H4" s="9">
        <f t="shared" ref="H4:H35" si="1">IF(F4="","",F4-G4)</f>
        <v>-3</v>
      </c>
      <c r="I4" s="10">
        <f t="shared" ref="I4:I35" si="2">IF(OR(F4="",G4=0),"",F4/G4-1)</f>
        <v>-3.0000000000000027E-2</v>
      </c>
      <c r="J4" s="9">
        <f>AVERAGE($E$4:E4)</f>
        <v>97</v>
      </c>
      <c r="K4" s="11" t="s">
        <v>13</v>
      </c>
    </row>
    <row r="5" spans="1:11" ht="18" customHeight="1" x14ac:dyDescent="0.25">
      <c r="A5" s="12">
        <v>2</v>
      </c>
      <c r="B5" s="5">
        <v>46139</v>
      </c>
      <c r="C5" s="6">
        <v>103</v>
      </c>
      <c r="D5" s="7">
        <v>3</v>
      </c>
      <c r="E5" s="8">
        <f t="shared" si="0"/>
        <v>100</v>
      </c>
      <c r="F5" s="6">
        <v>213</v>
      </c>
      <c r="G5" s="14">
        <f>SUM($C$4:C5)</f>
        <v>203</v>
      </c>
      <c r="H5" s="14">
        <f t="shared" si="1"/>
        <v>10</v>
      </c>
      <c r="I5" s="15">
        <f t="shared" si="2"/>
        <v>4.9261083743842304E-2</v>
      </c>
      <c r="J5" s="14">
        <f>AVERAGE($E$4:E5)</f>
        <v>98.5</v>
      </c>
      <c r="K5" s="11"/>
    </row>
    <row r="6" spans="1:11" ht="18" customHeight="1" x14ac:dyDescent="0.25">
      <c r="A6" s="4">
        <v>3</v>
      </c>
      <c r="B6" s="5">
        <v>46169</v>
      </c>
      <c r="C6" s="6">
        <v>103</v>
      </c>
      <c r="D6" s="7">
        <v>3</v>
      </c>
      <c r="E6" s="8">
        <f t="shared" si="0"/>
        <v>100</v>
      </c>
      <c r="F6" s="6">
        <v>319</v>
      </c>
      <c r="G6" s="9">
        <f>SUM($C$4:C6)</f>
        <v>306</v>
      </c>
      <c r="H6" s="9">
        <f t="shared" si="1"/>
        <v>13</v>
      </c>
      <c r="I6" s="10">
        <f t="shared" si="2"/>
        <v>4.2483660130719025E-2</v>
      </c>
      <c r="J6" s="9">
        <f>AVERAGE($E$4:E6)</f>
        <v>99</v>
      </c>
      <c r="K6" s="11"/>
    </row>
    <row r="7" spans="1:11" ht="18" customHeight="1" x14ac:dyDescent="0.25">
      <c r="A7" s="12">
        <v>4</v>
      </c>
      <c r="B7" s="5">
        <v>46175</v>
      </c>
      <c r="C7" s="6">
        <v>100</v>
      </c>
      <c r="D7" s="7">
        <v>0</v>
      </c>
      <c r="E7" s="8">
        <f t="shared" si="0"/>
        <v>100</v>
      </c>
      <c r="F7" s="6">
        <v>420</v>
      </c>
      <c r="G7" s="14">
        <f>SUM($C$4:C7)</f>
        <v>406</v>
      </c>
      <c r="H7" s="14">
        <f t="shared" si="1"/>
        <v>14</v>
      </c>
      <c r="I7" s="15">
        <f t="shared" si="2"/>
        <v>3.4482758620689724E-2</v>
      </c>
      <c r="J7" s="14">
        <f>AVERAGE($E$4:E7)</f>
        <v>99.25</v>
      </c>
      <c r="K7" s="11"/>
    </row>
    <row r="8" spans="1:11" ht="18" customHeight="1" x14ac:dyDescent="0.25">
      <c r="A8" s="4">
        <v>5</v>
      </c>
      <c r="B8" s="13"/>
      <c r="C8" s="6"/>
      <c r="D8" s="7">
        <v>0</v>
      </c>
      <c r="E8" s="8">
        <f t="shared" si="0"/>
        <v>0</v>
      </c>
      <c r="F8" s="6"/>
      <c r="G8" s="9">
        <f>SUM($C$4:C8)</f>
        <v>406</v>
      </c>
      <c r="H8" s="9" t="str">
        <f t="shared" si="1"/>
        <v/>
      </c>
      <c r="I8" s="10" t="str">
        <f t="shared" si="2"/>
        <v/>
      </c>
      <c r="J8" s="9">
        <f>AVERAGE($E$4:E8)</f>
        <v>79.400000000000006</v>
      </c>
      <c r="K8" s="11"/>
    </row>
    <row r="9" spans="1:11" ht="18" customHeight="1" x14ac:dyDescent="0.25">
      <c r="A9" s="12">
        <v>6</v>
      </c>
      <c r="B9" s="13"/>
      <c r="C9" s="6"/>
      <c r="D9" s="7">
        <v>0</v>
      </c>
      <c r="E9" s="8">
        <f t="shared" si="0"/>
        <v>0</v>
      </c>
      <c r="F9" s="6"/>
      <c r="G9" s="14">
        <f>SUM($C$4:C9)</f>
        <v>406</v>
      </c>
      <c r="H9" s="14" t="str">
        <f t="shared" si="1"/>
        <v/>
      </c>
      <c r="I9" s="15" t="str">
        <f t="shared" si="2"/>
        <v/>
      </c>
      <c r="J9" s="14">
        <f>AVERAGE($E$4:E9)</f>
        <v>66.166666666666671</v>
      </c>
      <c r="K9" s="11"/>
    </row>
    <row r="10" spans="1:11" ht="18" customHeight="1" x14ac:dyDescent="0.25">
      <c r="A10" s="4">
        <v>7</v>
      </c>
      <c r="B10" s="13"/>
      <c r="C10" s="6"/>
      <c r="D10" s="7">
        <v>0</v>
      </c>
      <c r="E10" s="8">
        <f t="shared" si="0"/>
        <v>0</v>
      </c>
      <c r="F10" s="6"/>
      <c r="G10" s="9">
        <f>SUM($C$4:C10)</f>
        <v>406</v>
      </c>
      <c r="H10" s="9" t="str">
        <f t="shared" si="1"/>
        <v/>
      </c>
      <c r="I10" s="10" t="str">
        <f t="shared" si="2"/>
        <v/>
      </c>
      <c r="J10" s="9">
        <f>AVERAGE($E$4:E10)</f>
        <v>56.714285714285715</v>
      </c>
      <c r="K10" s="11"/>
    </row>
    <row r="11" spans="1:11" ht="18" customHeight="1" x14ac:dyDescent="0.25">
      <c r="A11" s="12">
        <v>8</v>
      </c>
      <c r="B11" s="13"/>
      <c r="C11" s="6"/>
      <c r="D11" s="7">
        <v>0</v>
      </c>
      <c r="E11" s="8">
        <f t="shared" si="0"/>
        <v>0</v>
      </c>
      <c r="F11" s="6"/>
      <c r="G11" s="14">
        <f>SUM($C$4:C11)</f>
        <v>406</v>
      </c>
      <c r="H11" s="14" t="str">
        <f t="shared" si="1"/>
        <v/>
      </c>
      <c r="I11" s="15" t="str">
        <f t="shared" si="2"/>
        <v/>
      </c>
      <c r="J11" s="14">
        <f>AVERAGE($E$4:E11)</f>
        <v>49.625</v>
      </c>
      <c r="K11" s="11"/>
    </row>
    <row r="12" spans="1:11" ht="18" customHeight="1" x14ac:dyDescent="0.25">
      <c r="A12" s="4">
        <v>9</v>
      </c>
      <c r="B12" s="13"/>
      <c r="C12" s="6"/>
      <c r="D12" s="7">
        <v>0</v>
      </c>
      <c r="E12" s="8">
        <f t="shared" si="0"/>
        <v>0</v>
      </c>
      <c r="F12" s="6"/>
      <c r="G12" s="9">
        <f>SUM($C$4:C12)</f>
        <v>406</v>
      </c>
      <c r="H12" s="9" t="str">
        <f t="shared" si="1"/>
        <v/>
      </c>
      <c r="I12" s="10" t="str">
        <f t="shared" si="2"/>
        <v/>
      </c>
      <c r="J12" s="9">
        <f>AVERAGE($E$4:E12)</f>
        <v>44.111111111111114</v>
      </c>
      <c r="K12" s="11"/>
    </row>
    <row r="13" spans="1:11" ht="18" customHeight="1" x14ac:dyDescent="0.25">
      <c r="A13" s="12">
        <v>10</v>
      </c>
      <c r="B13" s="13"/>
      <c r="C13" s="6"/>
      <c r="D13" s="7">
        <v>0</v>
      </c>
      <c r="E13" s="8">
        <f t="shared" si="0"/>
        <v>0</v>
      </c>
      <c r="F13" s="6"/>
      <c r="G13" s="14">
        <f>SUM($C$4:C13)</f>
        <v>406</v>
      </c>
      <c r="H13" s="14" t="str">
        <f t="shared" si="1"/>
        <v/>
      </c>
      <c r="I13" s="15" t="str">
        <f t="shared" si="2"/>
        <v/>
      </c>
      <c r="J13" s="14">
        <f>AVERAGE($E$4:E13)</f>
        <v>39.700000000000003</v>
      </c>
      <c r="K13" s="11"/>
    </row>
    <row r="14" spans="1:11" ht="18" customHeight="1" x14ac:dyDescent="0.25">
      <c r="A14" s="4">
        <v>11</v>
      </c>
      <c r="B14" s="13"/>
      <c r="C14" s="6"/>
      <c r="D14" s="7">
        <v>0</v>
      </c>
      <c r="E14" s="8">
        <f t="shared" si="0"/>
        <v>0</v>
      </c>
      <c r="F14" s="6"/>
      <c r="G14" s="9">
        <f>SUM($C$4:C14)</f>
        <v>406</v>
      </c>
      <c r="H14" s="9" t="str">
        <f t="shared" si="1"/>
        <v/>
      </c>
      <c r="I14" s="10" t="str">
        <f t="shared" si="2"/>
        <v/>
      </c>
      <c r="J14" s="9">
        <f>AVERAGE($E$4:E14)</f>
        <v>36.090909090909093</v>
      </c>
      <c r="K14" s="11"/>
    </row>
    <row r="15" spans="1:11" ht="18" customHeight="1" x14ac:dyDescent="0.25">
      <c r="A15" s="12">
        <v>12</v>
      </c>
      <c r="B15" s="13"/>
      <c r="C15" s="6"/>
      <c r="D15" s="7">
        <v>0</v>
      </c>
      <c r="E15" s="8">
        <f t="shared" si="0"/>
        <v>0</v>
      </c>
      <c r="F15" s="6"/>
      <c r="G15" s="14">
        <f>SUM($C$4:C15)</f>
        <v>406</v>
      </c>
      <c r="H15" s="14" t="str">
        <f t="shared" si="1"/>
        <v/>
      </c>
      <c r="I15" s="15" t="str">
        <f t="shared" si="2"/>
        <v/>
      </c>
      <c r="J15" s="14">
        <f>AVERAGE($E$4:E15)</f>
        <v>33.083333333333336</v>
      </c>
      <c r="K15" s="11"/>
    </row>
    <row r="16" spans="1:11" ht="18" customHeight="1" x14ac:dyDescent="0.25">
      <c r="A16" s="4">
        <v>13</v>
      </c>
      <c r="B16" s="13"/>
      <c r="C16" s="6"/>
      <c r="D16" s="7">
        <v>0</v>
      </c>
      <c r="E16" s="8">
        <f t="shared" si="0"/>
        <v>0</v>
      </c>
      <c r="F16" s="6"/>
      <c r="G16" s="9">
        <f>SUM($C$4:C16)</f>
        <v>406</v>
      </c>
      <c r="H16" s="9" t="str">
        <f t="shared" si="1"/>
        <v/>
      </c>
      <c r="I16" s="10" t="str">
        <f t="shared" si="2"/>
        <v/>
      </c>
      <c r="J16" s="9">
        <f>AVERAGE($E$4:E16)</f>
        <v>30.53846153846154</v>
      </c>
      <c r="K16" s="11"/>
    </row>
    <row r="17" spans="1:11" ht="18" customHeight="1" x14ac:dyDescent="0.25">
      <c r="A17" s="12">
        <v>14</v>
      </c>
      <c r="B17" s="13"/>
      <c r="C17" s="6"/>
      <c r="D17" s="7">
        <v>0</v>
      </c>
      <c r="E17" s="8">
        <f t="shared" si="0"/>
        <v>0</v>
      </c>
      <c r="F17" s="6"/>
      <c r="G17" s="14">
        <f>SUM($C$4:C17)</f>
        <v>406</v>
      </c>
      <c r="H17" s="14" t="str">
        <f t="shared" si="1"/>
        <v/>
      </c>
      <c r="I17" s="15" t="str">
        <f t="shared" si="2"/>
        <v/>
      </c>
      <c r="J17" s="14">
        <f>AVERAGE($E$4:E17)</f>
        <v>28.357142857142858</v>
      </c>
      <c r="K17" s="11"/>
    </row>
    <row r="18" spans="1:11" ht="18" customHeight="1" x14ac:dyDescent="0.25">
      <c r="A18" s="4">
        <v>15</v>
      </c>
      <c r="B18" s="13"/>
      <c r="C18" s="6"/>
      <c r="D18" s="7">
        <v>0</v>
      </c>
      <c r="E18" s="8">
        <f t="shared" si="0"/>
        <v>0</v>
      </c>
      <c r="F18" s="6"/>
      <c r="G18" s="9">
        <f>SUM($C$4:C18)</f>
        <v>406</v>
      </c>
      <c r="H18" s="9" t="str">
        <f t="shared" si="1"/>
        <v/>
      </c>
      <c r="I18" s="10" t="str">
        <f t="shared" si="2"/>
        <v/>
      </c>
      <c r="J18" s="9">
        <f>AVERAGE($E$4:E18)</f>
        <v>26.466666666666665</v>
      </c>
      <c r="K18" s="11"/>
    </row>
    <row r="19" spans="1:11" ht="18" customHeight="1" x14ac:dyDescent="0.25">
      <c r="A19" s="12">
        <v>16</v>
      </c>
      <c r="B19" s="13"/>
      <c r="C19" s="6"/>
      <c r="D19" s="7">
        <v>0</v>
      </c>
      <c r="E19" s="8">
        <f t="shared" si="0"/>
        <v>0</v>
      </c>
      <c r="F19" s="6"/>
      <c r="G19" s="14">
        <f>SUM($C$4:C19)</f>
        <v>406</v>
      </c>
      <c r="H19" s="14" t="str">
        <f t="shared" si="1"/>
        <v/>
      </c>
      <c r="I19" s="15" t="str">
        <f t="shared" si="2"/>
        <v/>
      </c>
      <c r="J19" s="14">
        <f>AVERAGE($E$4:E19)</f>
        <v>24.8125</v>
      </c>
      <c r="K19" s="11"/>
    </row>
    <row r="20" spans="1:11" ht="18" customHeight="1" x14ac:dyDescent="0.25">
      <c r="A20" s="4">
        <v>17</v>
      </c>
      <c r="B20" s="13"/>
      <c r="C20" s="6"/>
      <c r="D20" s="7">
        <v>0</v>
      </c>
      <c r="E20" s="8">
        <f t="shared" si="0"/>
        <v>0</v>
      </c>
      <c r="F20" s="6"/>
      <c r="G20" s="9">
        <f>SUM($C$4:C20)</f>
        <v>406</v>
      </c>
      <c r="H20" s="9" t="str">
        <f t="shared" si="1"/>
        <v/>
      </c>
      <c r="I20" s="10" t="str">
        <f t="shared" si="2"/>
        <v/>
      </c>
      <c r="J20" s="9">
        <f>AVERAGE($E$4:E20)</f>
        <v>23.352941176470587</v>
      </c>
      <c r="K20" s="11"/>
    </row>
    <row r="21" spans="1:11" ht="18" customHeight="1" x14ac:dyDescent="0.25">
      <c r="A21" s="12">
        <v>18</v>
      </c>
      <c r="B21" s="13"/>
      <c r="C21" s="6"/>
      <c r="D21" s="7">
        <v>0</v>
      </c>
      <c r="E21" s="8">
        <f t="shared" si="0"/>
        <v>0</v>
      </c>
      <c r="F21" s="6"/>
      <c r="G21" s="14">
        <f>SUM($C$4:C21)</f>
        <v>406</v>
      </c>
      <c r="H21" s="14" t="str">
        <f t="shared" si="1"/>
        <v/>
      </c>
      <c r="I21" s="15" t="str">
        <f t="shared" si="2"/>
        <v/>
      </c>
      <c r="J21" s="14">
        <f>AVERAGE($E$4:E21)</f>
        <v>22.055555555555557</v>
      </c>
      <c r="K21" s="11"/>
    </row>
    <row r="22" spans="1:11" ht="18" customHeight="1" x14ac:dyDescent="0.25">
      <c r="A22" s="4">
        <v>19</v>
      </c>
      <c r="B22" s="13"/>
      <c r="C22" s="6"/>
      <c r="D22" s="7">
        <v>0</v>
      </c>
      <c r="E22" s="8">
        <f t="shared" si="0"/>
        <v>0</v>
      </c>
      <c r="F22" s="6"/>
      <c r="G22" s="9">
        <f>SUM($C$4:C22)</f>
        <v>406</v>
      </c>
      <c r="H22" s="9" t="str">
        <f t="shared" si="1"/>
        <v/>
      </c>
      <c r="I22" s="10" t="str">
        <f t="shared" si="2"/>
        <v/>
      </c>
      <c r="J22" s="9">
        <f>AVERAGE($E$4:E22)</f>
        <v>20.894736842105264</v>
      </c>
      <c r="K22" s="11"/>
    </row>
    <row r="23" spans="1:11" ht="18" customHeight="1" x14ac:dyDescent="0.25">
      <c r="A23" s="12">
        <v>20</v>
      </c>
      <c r="B23" s="13"/>
      <c r="C23" s="6"/>
      <c r="D23" s="7">
        <v>0</v>
      </c>
      <c r="E23" s="8">
        <f t="shared" si="0"/>
        <v>0</v>
      </c>
      <c r="F23" s="6"/>
      <c r="G23" s="14">
        <f>SUM($C$4:C23)</f>
        <v>406</v>
      </c>
      <c r="H23" s="14" t="str">
        <f t="shared" si="1"/>
        <v/>
      </c>
      <c r="I23" s="15" t="str">
        <f t="shared" si="2"/>
        <v/>
      </c>
      <c r="J23" s="14">
        <f>AVERAGE($E$4:E23)</f>
        <v>19.850000000000001</v>
      </c>
      <c r="K23" s="11"/>
    </row>
    <row r="24" spans="1:11" ht="18" customHeight="1" x14ac:dyDescent="0.25">
      <c r="A24" s="4">
        <v>21</v>
      </c>
      <c r="B24" s="13"/>
      <c r="C24" s="6"/>
      <c r="D24" s="7">
        <v>0</v>
      </c>
      <c r="E24" s="8">
        <f t="shared" si="0"/>
        <v>0</v>
      </c>
      <c r="F24" s="6"/>
      <c r="G24" s="9">
        <f>SUM($C$4:C24)</f>
        <v>406</v>
      </c>
      <c r="H24" s="9" t="str">
        <f t="shared" si="1"/>
        <v/>
      </c>
      <c r="I24" s="10" t="str">
        <f t="shared" si="2"/>
        <v/>
      </c>
      <c r="J24" s="9">
        <f>AVERAGE($E$4:E24)</f>
        <v>18.904761904761905</v>
      </c>
      <c r="K24" s="11"/>
    </row>
    <row r="25" spans="1:11" ht="18" customHeight="1" x14ac:dyDescent="0.25">
      <c r="A25" s="12">
        <v>22</v>
      </c>
      <c r="B25" s="13"/>
      <c r="C25" s="6"/>
      <c r="D25" s="7">
        <v>0</v>
      </c>
      <c r="E25" s="8">
        <f t="shared" si="0"/>
        <v>0</v>
      </c>
      <c r="F25" s="6"/>
      <c r="G25" s="14">
        <f>SUM($C$4:C25)</f>
        <v>406</v>
      </c>
      <c r="H25" s="14" t="str">
        <f t="shared" si="1"/>
        <v/>
      </c>
      <c r="I25" s="15" t="str">
        <f t="shared" si="2"/>
        <v/>
      </c>
      <c r="J25" s="14">
        <f>AVERAGE($E$4:E25)</f>
        <v>18.045454545454547</v>
      </c>
      <c r="K25" s="11"/>
    </row>
    <row r="26" spans="1:11" ht="18" customHeight="1" x14ac:dyDescent="0.25">
      <c r="A26" s="4">
        <v>23</v>
      </c>
      <c r="B26" s="13"/>
      <c r="C26" s="6"/>
      <c r="D26" s="7">
        <v>0</v>
      </c>
      <c r="E26" s="8">
        <f t="shared" si="0"/>
        <v>0</v>
      </c>
      <c r="F26" s="6"/>
      <c r="G26" s="9">
        <f>SUM($C$4:C26)</f>
        <v>406</v>
      </c>
      <c r="H26" s="9" t="str">
        <f t="shared" si="1"/>
        <v/>
      </c>
      <c r="I26" s="10" t="str">
        <f t="shared" si="2"/>
        <v/>
      </c>
      <c r="J26" s="9">
        <f>AVERAGE($E$4:E26)</f>
        <v>17.260869565217391</v>
      </c>
      <c r="K26" s="11"/>
    </row>
    <row r="27" spans="1:11" ht="18" customHeight="1" x14ac:dyDescent="0.25">
      <c r="A27" s="12">
        <v>24</v>
      </c>
      <c r="B27" s="13"/>
      <c r="C27" s="6"/>
      <c r="D27" s="7">
        <v>0</v>
      </c>
      <c r="E27" s="8">
        <f t="shared" si="0"/>
        <v>0</v>
      </c>
      <c r="F27" s="6"/>
      <c r="G27" s="14">
        <f>SUM($C$4:C27)</f>
        <v>406</v>
      </c>
      <c r="H27" s="14" t="str">
        <f t="shared" si="1"/>
        <v/>
      </c>
      <c r="I27" s="15" t="str">
        <f t="shared" si="2"/>
        <v/>
      </c>
      <c r="J27" s="14">
        <f>AVERAGE($E$4:E27)</f>
        <v>16.541666666666668</v>
      </c>
      <c r="K27" s="11"/>
    </row>
    <row r="28" spans="1:11" ht="18" customHeight="1" x14ac:dyDescent="0.25">
      <c r="A28" s="4">
        <v>25</v>
      </c>
      <c r="B28" s="13"/>
      <c r="C28" s="6"/>
      <c r="D28" s="7">
        <v>0</v>
      </c>
      <c r="E28" s="8">
        <f t="shared" si="0"/>
        <v>0</v>
      </c>
      <c r="F28" s="6"/>
      <c r="G28" s="9">
        <f>SUM($C$4:C28)</f>
        <v>406</v>
      </c>
      <c r="H28" s="9" t="str">
        <f t="shared" si="1"/>
        <v/>
      </c>
      <c r="I28" s="10" t="str">
        <f t="shared" si="2"/>
        <v/>
      </c>
      <c r="J28" s="9">
        <f>AVERAGE($E$4:E28)</f>
        <v>15.88</v>
      </c>
      <c r="K28" s="11"/>
    </row>
    <row r="29" spans="1:11" ht="18" customHeight="1" x14ac:dyDescent="0.25">
      <c r="A29" s="12">
        <v>26</v>
      </c>
      <c r="B29" s="13"/>
      <c r="C29" s="6"/>
      <c r="D29" s="7">
        <v>0</v>
      </c>
      <c r="E29" s="8">
        <f t="shared" si="0"/>
        <v>0</v>
      </c>
      <c r="F29" s="6"/>
      <c r="G29" s="14">
        <f>SUM($C$4:C29)</f>
        <v>406</v>
      </c>
      <c r="H29" s="14" t="str">
        <f t="shared" si="1"/>
        <v/>
      </c>
      <c r="I29" s="15" t="str">
        <f t="shared" si="2"/>
        <v/>
      </c>
      <c r="J29" s="14">
        <f>AVERAGE($E$4:E29)</f>
        <v>15.26923076923077</v>
      </c>
      <c r="K29" s="11"/>
    </row>
    <row r="30" spans="1:11" ht="18" customHeight="1" x14ac:dyDescent="0.25">
      <c r="A30" s="4">
        <v>27</v>
      </c>
      <c r="B30" s="13"/>
      <c r="C30" s="6"/>
      <c r="D30" s="7">
        <v>0</v>
      </c>
      <c r="E30" s="8">
        <f t="shared" si="0"/>
        <v>0</v>
      </c>
      <c r="F30" s="6"/>
      <c r="G30" s="9">
        <f>SUM($C$4:C30)</f>
        <v>406</v>
      </c>
      <c r="H30" s="9" t="str">
        <f t="shared" si="1"/>
        <v/>
      </c>
      <c r="I30" s="10" t="str">
        <f t="shared" si="2"/>
        <v/>
      </c>
      <c r="J30" s="9">
        <f>AVERAGE($E$4:E30)</f>
        <v>14.703703703703704</v>
      </c>
      <c r="K30" s="11"/>
    </row>
    <row r="31" spans="1:11" ht="18" customHeight="1" x14ac:dyDescent="0.25">
      <c r="A31" s="12">
        <v>28</v>
      </c>
      <c r="B31" s="13"/>
      <c r="C31" s="6"/>
      <c r="D31" s="7">
        <v>0</v>
      </c>
      <c r="E31" s="8">
        <f t="shared" si="0"/>
        <v>0</v>
      </c>
      <c r="F31" s="6"/>
      <c r="G31" s="14">
        <f>SUM($C$4:C31)</f>
        <v>406</v>
      </c>
      <c r="H31" s="14" t="str">
        <f t="shared" si="1"/>
        <v/>
      </c>
      <c r="I31" s="15" t="str">
        <f t="shared" si="2"/>
        <v/>
      </c>
      <c r="J31" s="14">
        <f>AVERAGE($E$4:E31)</f>
        <v>14.178571428571429</v>
      </c>
      <c r="K31" s="11"/>
    </row>
    <row r="32" spans="1:11" ht="18" customHeight="1" x14ac:dyDescent="0.25">
      <c r="A32" s="4">
        <v>29</v>
      </c>
      <c r="B32" s="13"/>
      <c r="C32" s="6"/>
      <c r="D32" s="7">
        <v>0</v>
      </c>
      <c r="E32" s="8">
        <f t="shared" si="0"/>
        <v>0</v>
      </c>
      <c r="F32" s="6"/>
      <c r="G32" s="9">
        <f>SUM($C$4:C32)</f>
        <v>406</v>
      </c>
      <c r="H32" s="9" t="str">
        <f t="shared" si="1"/>
        <v/>
      </c>
      <c r="I32" s="10" t="str">
        <f t="shared" si="2"/>
        <v/>
      </c>
      <c r="J32" s="9">
        <f>AVERAGE($E$4:E32)</f>
        <v>13.689655172413794</v>
      </c>
      <c r="K32" s="11"/>
    </row>
    <row r="33" spans="1:11" ht="18" customHeight="1" x14ac:dyDescent="0.25">
      <c r="A33" s="12">
        <v>30</v>
      </c>
      <c r="B33" s="13"/>
      <c r="C33" s="6"/>
      <c r="D33" s="7">
        <v>0</v>
      </c>
      <c r="E33" s="8">
        <f t="shared" si="0"/>
        <v>0</v>
      </c>
      <c r="F33" s="6"/>
      <c r="G33" s="14">
        <f>SUM($C$4:C33)</f>
        <v>406</v>
      </c>
      <c r="H33" s="14" t="str">
        <f t="shared" si="1"/>
        <v/>
      </c>
      <c r="I33" s="15" t="str">
        <f t="shared" si="2"/>
        <v/>
      </c>
      <c r="J33" s="14">
        <f>AVERAGE($E$4:E33)</f>
        <v>13.233333333333333</v>
      </c>
      <c r="K33" s="11"/>
    </row>
    <row r="34" spans="1:11" ht="18" customHeight="1" x14ac:dyDescent="0.25">
      <c r="A34" s="4">
        <v>31</v>
      </c>
      <c r="B34" s="13"/>
      <c r="C34" s="6"/>
      <c r="D34" s="7">
        <v>0</v>
      </c>
      <c r="E34" s="8">
        <f t="shared" si="0"/>
        <v>0</v>
      </c>
      <c r="F34" s="6"/>
      <c r="G34" s="9">
        <f>SUM($C$4:C34)</f>
        <v>406</v>
      </c>
      <c r="H34" s="9" t="str">
        <f t="shared" si="1"/>
        <v/>
      </c>
      <c r="I34" s="10" t="str">
        <f t="shared" si="2"/>
        <v/>
      </c>
      <c r="J34" s="9">
        <f>AVERAGE($E$4:E34)</f>
        <v>12.806451612903226</v>
      </c>
      <c r="K34" s="11"/>
    </row>
    <row r="35" spans="1:11" ht="18" customHeight="1" x14ac:dyDescent="0.25">
      <c r="A35" s="12">
        <v>32</v>
      </c>
      <c r="B35" s="13"/>
      <c r="C35" s="6"/>
      <c r="D35" s="7">
        <v>0</v>
      </c>
      <c r="E35" s="8">
        <f t="shared" si="0"/>
        <v>0</v>
      </c>
      <c r="F35" s="6"/>
      <c r="G35" s="14">
        <f>SUM($C$4:C35)</f>
        <v>406</v>
      </c>
      <c r="H35" s="14" t="str">
        <f t="shared" si="1"/>
        <v/>
      </c>
      <c r="I35" s="15" t="str">
        <f t="shared" si="2"/>
        <v/>
      </c>
      <c r="J35" s="14">
        <f>AVERAGE($E$4:E35)</f>
        <v>12.40625</v>
      </c>
      <c r="K35" s="11"/>
    </row>
    <row r="36" spans="1:11" ht="18" customHeight="1" x14ac:dyDescent="0.25">
      <c r="A36" s="4">
        <v>33</v>
      </c>
      <c r="B36" s="13"/>
      <c r="C36" s="6"/>
      <c r="D36" s="7">
        <v>0</v>
      </c>
      <c r="E36" s="8">
        <f t="shared" ref="E36:E63" si="3">C36-D36</f>
        <v>0</v>
      </c>
      <c r="F36" s="6"/>
      <c r="G36" s="9">
        <f>SUM($C$4:C36)</f>
        <v>406</v>
      </c>
      <c r="H36" s="9" t="str">
        <f t="shared" ref="H36:H63" si="4">IF(F36="","",F36-G36)</f>
        <v/>
      </c>
      <c r="I36" s="10" t="str">
        <f t="shared" ref="I36:I63" si="5">IF(OR(F36="",G36=0),"",F36/G36-1)</f>
        <v/>
      </c>
      <c r="J36" s="9">
        <f>AVERAGE($E$4:E36)</f>
        <v>12.030303030303031</v>
      </c>
      <c r="K36" s="11"/>
    </row>
    <row r="37" spans="1:11" ht="18" customHeight="1" x14ac:dyDescent="0.25">
      <c r="A37" s="12">
        <v>34</v>
      </c>
      <c r="B37" s="13"/>
      <c r="C37" s="6"/>
      <c r="D37" s="7">
        <v>0</v>
      </c>
      <c r="E37" s="8">
        <f t="shared" si="3"/>
        <v>0</v>
      </c>
      <c r="F37" s="6"/>
      <c r="G37" s="14">
        <f>SUM($C$4:C37)</f>
        <v>406</v>
      </c>
      <c r="H37" s="14" t="str">
        <f t="shared" si="4"/>
        <v/>
      </c>
      <c r="I37" s="15" t="str">
        <f t="shared" si="5"/>
        <v/>
      </c>
      <c r="J37" s="14">
        <f>AVERAGE($E$4:E37)</f>
        <v>11.676470588235293</v>
      </c>
      <c r="K37" s="11"/>
    </row>
    <row r="38" spans="1:11" ht="18" customHeight="1" x14ac:dyDescent="0.25">
      <c r="A38" s="4">
        <v>35</v>
      </c>
      <c r="B38" s="13"/>
      <c r="C38" s="6"/>
      <c r="D38" s="7">
        <v>0</v>
      </c>
      <c r="E38" s="8">
        <f t="shared" si="3"/>
        <v>0</v>
      </c>
      <c r="F38" s="6"/>
      <c r="G38" s="9">
        <f>SUM($C$4:C38)</f>
        <v>406</v>
      </c>
      <c r="H38" s="9" t="str">
        <f t="shared" si="4"/>
        <v/>
      </c>
      <c r="I38" s="10" t="str">
        <f t="shared" si="5"/>
        <v/>
      </c>
      <c r="J38" s="9">
        <f>AVERAGE($E$4:E38)</f>
        <v>11.342857142857143</v>
      </c>
      <c r="K38" s="11"/>
    </row>
    <row r="39" spans="1:11" ht="18" customHeight="1" x14ac:dyDescent="0.25">
      <c r="A39" s="12">
        <v>36</v>
      </c>
      <c r="B39" s="13"/>
      <c r="C39" s="6"/>
      <c r="D39" s="7">
        <v>0</v>
      </c>
      <c r="E39" s="8">
        <f t="shared" si="3"/>
        <v>0</v>
      </c>
      <c r="F39" s="6"/>
      <c r="G39" s="14">
        <f>SUM($C$4:C39)</f>
        <v>406</v>
      </c>
      <c r="H39" s="14" t="str">
        <f t="shared" si="4"/>
        <v/>
      </c>
      <c r="I39" s="15" t="str">
        <f t="shared" si="5"/>
        <v/>
      </c>
      <c r="J39" s="14">
        <f>AVERAGE($E$4:E39)</f>
        <v>11.027777777777779</v>
      </c>
      <c r="K39" s="11"/>
    </row>
    <row r="40" spans="1:11" ht="18" customHeight="1" x14ac:dyDescent="0.25">
      <c r="A40" s="4">
        <v>37</v>
      </c>
      <c r="B40" s="13"/>
      <c r="C40" s="6"/>
      <c r="D40" s="7">
        <v>0</v>
      </c>
      <c r="E40" s="8">
        <f t="shared" si="3"/>
        <v>0</v>
      </c>
      <c r="F40" s="6"/>
      <c r="G40" s="9">
        <f>SUM($C$4:C40)</f>
        <v>406</v>
      </c>
      <c r="H40" s="9" t="str">
        <f t="shared" si="4"/>
        <v/>
      </c>
      <c r="I40" s="10" t="str">
        <f t="shared" si="5"/>
        <v/>
      </c>
      <c r="J40" s="9">
        <f>AVERAGE($E$4:E40)</f>
        <v>10.72972972972973</v>
      </c>
      <c r="K40" s="11"/>
    </row>
    <row r="41" spans="1:11" ht="18" customHeight="1" x14ac:dyDescent="0.25">
      <c r="A41" s="12">
        <v>38</v>
      </c>
      <c r="B41" s="13"/>
      <c r="C41" s="6"/>
      <c r="D41" s="7">
        <v>0</v>
      </c>
      <c r="E41" s="8">
        <f t="shared" si="3"/>
        <v>0</v>
      </c>
      <c r="F41" s="6"/>
      <c r="G41" s="14">
        <f>SUM($C$4:C41)</f>
        <v>406</v>
      </c>
      <c r="H41" s="14" t="str">
        <f t="shared" si="4"/>
        <v/>
      </c>
      <c r="I41" s="15" t="str">
        <f t="shared" si="5"/>
        <v/>
      </c>
      <c r="J41" s="14">
        <f>AVERAGE($E$4:E41)</f>
        <v>10.447368421052632</v>
      </c>
      <c r="K41" s="11"/>
    </row>
    <row r="42" spans="1:11" ht="18" customHeight="1" x14ac:dyDescent="0.25">
      <c r="A42" s="4">
        <v>39</v>
      </c>
      <c r="B42" s="13"/>
      <c r="C42" s="6"/>
      <c r="D42" s="7">
        <v>0</v>
      </c>
      <c r="E42" s="8">
        <f t="shared" si="3"/>
        <v>0</v>
      </c>
      <c r="F42" s="6"/>
      <c r="G42" s="9">
        <f>SUM($C$4:C42)</f>
        <v>406</v>
      </c>
      <c r="H42" s="9" t="str">
        <f t="shared" si="4"/>
        <v/>
      </c>
      <c r="I42" s="10" t="str">
        <f t="shared" si="5"/>
        <v/>
      </c>
      <c r="J42" s="9">
        <f>AVERAGE($E$4:E42)</f>
        <v>10.179487179487179</v>
      </c>
      <c r="K42" s="11"/>
    </row>
    <row r="43" spans="1:11" ht="18" customHeight="1" x14ac:dyDescent="0.25">
      <c r="A43" s="12">
        <v>40</v>
      </c>
      <c r="B43" s="13"/>
      <c r="C43" s="6"/>
      <c r="D43" s="7">
        <v>0</v>
      </c>
      <c r="E43" s="8">
        <f t="shared" si="3"/>
        <v>0</v>
      </c>
      <c r="F43" s="6"/>
      <c r="G43" s="14">
        <f>SUM($C$4:C43)</f>
        <v>406</v>
      </c>
      <c r="H43" s="14" t="str">
        <f t="shared" si="4"/>
        <v/>
      </c>
      <c r="I43" s="15" t="str">
        <f t="shared" si="5"/>
        <v/>
      </c>
      <c r="J43" s="14">
        <f>AVERAGE($E$4:E43)</f>
        <v>9.9250000000000007</v>
      </c>
      <c r="K43" s="11"/>
    </row>
    <row r="44" spans="1:11" ht="18" customHeight="1" x14ac:dyDescent="0.25">
      <c r="A44" s="4">
        <v>41</v>
      </c>
      <c r="B44" s="13"/>
      <c r="C44" s="6"/>
      <c r="D44" s="7">
        <v>0</v>
      </c>
      <c r="E44" s="8">
        <f t="shared" si="3"/>
        <v>0</v>
      </c>
      <c r="F44" s="6"/>
      <c r="G44" s="9">
        <f>SUM($C$4:C44)</f>
        <v>406</v>
      </c>
      <c r="H44" s="9" t="str">
        <f t="shared" si="4"/>
        <v/>
      </c>
      <c r="I44" s="10" t="str">
        <f t="shared" si="5"/>
        <v/>
      </c>
      <c r="J44" s="9">
        <f>AVERAGE($E$4:E44)</f>
        <v>9.6829268292682933</v>
      </c>
      <c r="K44" s="11"/>
    </row>
    <row r="45" spans="1:11" ht="18" customHeight="1" x14ac:dyDescent="0.25">
      <c r="A45" s="12">
        <v>42</v>
      </c>
      <c r="B45" s="13"/>
      <c r="C45" s="6"/>
      <c r="D45" s="7">
        <v>0</v>
      </c>
      <c r="E45" s="8">
        <f t="shared" si="3"/>
        <v>0</v>
      </c>
      <c r="F45" s="6"/>
      <c r="G45" s="14">
        <f>SUM($C$4:C45)</f>
        <v>406</v>
      </c>
      <c r="H45" s="14" t="str">
        <f t="shared" si="4"/>
        <v/>
      </c>
      <c r="I45" s="15" t="str">
        <f t="shared" si="5"/>
        <v/>
      </c>
      <c r="J45" s="14">
        <f>AVERAGE($E$4:E45)</f>
        <v>9.4523809523809526</v>
      </c>
      <c r="K45" s="11"/>
    </row>
    <row r="46" spans="1:11" ht="18" customHeight="1" x14ac:dyDescent="0.25">
      <c r="A46" s="4">
        <v>43</v>
      </c>
      <c r="B46" s="13"/>
      <c r="C46" s="6"/>
      <c r="D46" s="7">
        <v>0</v>
      </c>
      <c r="E46" s="8">
        <f t="shared" si="3"/>
        <v>0</v>
      </c>
      <c r="F46" s="6"/>
      <c r="G46" s="9">
        <f>SUM($C$4:C46)</f>
        <v>406</v>
      </c>
      <c r="H46" s="9" t="str">
        <f t="shared" si="4"/>
        <v/>
      </c>
      <c r="I46" s="10" t="str">
        <f t="shared" si="5"/>
        <v/>
      </c>
      <c r="J46" s="9">
        <f>AVERAGE($E$4:E46)</f>
        <v>9.2325581395348841</v>
      </c>
      <c r="K46" s="11"/>
    </row>
    <row r="47" spans="1:11" ht="18" customHeight="1" x14ac:dyDescent="0.25">
      <c r="A47" s="12">
        <v>44</v>
      </c>
      <c r="B47" s="13"/>
      <c r="C47" s="6"/>
      <c r="D47" s="7">
        <v>0</v>
      </c>
      <c r="E47" s="8">
        <f t="shared" si="3"/>
        <v>0</v>
      </c>
      <c r="F47" s="6"/>
      <c r="G47" s="14">
        <f>SUM($C$4:C47)</f>
        <v>406</v>
      </c>
      <c r="H47" s="14" t="str">
        <f t="shared" si="4"/>
        <v/>
      </c>
      <c r="I47" s="15" t="str">
        <f t="shared" si="5"/>
        <v/>
      </c>
      <c r="J47" s="14">
        <f>AVERAGE($E$4:E47)</f>
        <v>9.0227272727272734</v>
      </c>
      <c r="K47" s="11"/>
    </row>
    <row r="48" spans="1:11" ht="18" customHeight="1" x14ac:dyDescent="0.25">
      <c r="A48" s="4">
        <v>45</v>
      </c>
      <c r="B48" s="13"/>
      <c r="C48" s="6"/>
      <c r="D48" s="7">
        <v>0</v>
      </c>
      <c r="E48" s="8">
        <f t="shared" si="3"/>
        <v>0</v>
      </c>
      <c r="F48" s="6"/>
      <c r="G48" s="9">
        <f>SUM($C$4:C48)</f>
        <v>406</v>
      </c>
      <c r="H48" s="9" t="str">
        <f t="shared" si="4"/>
        <v/>
      </c>
      <c r="I48" s="10" t="str">
        <f t="shared" si="5"/>
        <v/>
      </c>
      <c r="J48" s="9">
        <f>AVERAGE($E$4:E48)</f>
        <v>8.8222222222222229</v>
      </c>
      <c r="K48" s="11"/>
    </row>
    <row r="49" spans="1:11" ht="18" customHeight="1" x14ac:dyDescent="0.25">
      <c r="A49" s="12">
        <v>46</v>
      </c>
      <c r="B49" s="13"/>
      <c r="C49" s="6"/>
      <c r="D49" s="7">
        <v>0</v>
      </c>
      <c r="E49" s="8">
        <f t="shared" si="3"/>
        <v>0</v>
      </c>
      <c r="F49" s="6"/>
      <c r="G49" s="14">
        <f>SUM($C$4:C49)</f>
        <v>406</v>
      </c>
      <c r="H49" s="14" t="str">
        <f t="shared" si="4"/>
        <v/>
      </c>
      <c r="I49" s="15" t="str">
        <f t="shared" si="5"/>
        <v/>
      </c>
      <c r="J49" s="14">
        <f>AVERAGE($E$4:E49)</f>
        <v>8.6304347826086953</v>
      </c>
      <c r="K49" s="11"/>
    </row>
    <row r="50" spans="1:11" ht="18" customHeight="1" x14ac:dyDescent="0.25">
      <c r="A50" s="4">
        <v>47</v>
      </c>
      <c r="B50" s="13"/>
      <c r="C50" s="6"/>
      <c r="D50" s="7">
        <v>0</v>
      </c>
      <c r="E50" s="8">
        <f t="shared" si="3"/>
        <v>0</v>
      </c>
      <c r="F50" s="6"/>
      <c r="G50" s="9">
        <f>SUM($C$4:C50)</f>
        <v>406</v>
      </c>
      <c r="H50" s="9" t="str">
        <f t="shared" si="4"/>
        <v/>
      </c>
      <c r="I50" s="10" t="str">
        <f t="shared" si="5"/>
        <v/>
      </c>
      <c r="J50" s="9">
        <f>AVERAGE($E$4:E50)</f>
        <v>8.4468085106382986</v>
      </c>
      <c r="K50" s="11"/>
    </row>
    <row r="51" spans="1:11" ht="18" customHeight="1" x14ac:dyDescent="0.25">
      <c r="A51" s="12">
        <v>48</v>
      </c>
      <c r="B51" s="13"/>
      <c r="C51" s="6"/>
      <c r="D51" s="7">
        <v>0</v>
      </c>
      <c r="E51" s="8">
        <f t="shared" si="3"/>
        <v>0</v>
      </c>
      <c r="F51" s="6"/>
      <c r="G51" s="14">
        <f>SUM($C$4:C51)</f>
        <v>406</v>
      </c>
      <c r="H51" s="14" t="str">
        <f t="shared" si="4"/>
        <v/>
      </c>
      <c r="I51" s="15" t="str">
        <f t="shared" si="5"/>
        <v/>
      </c>
      <c r="J51" s="14">
        <f>AVERAGE($E$4:E51)</f>
        <v>8.2708333333333339</v>
      </c>
      <c r="K51" s="11"/>
    </row>
    <row r="52" spans="1:11" ht="18" customHeight="1" x14ac:dyDescent="0.25">
      <c r="A52" s="4">
        <v>49</v>
      </c>
      <c r="B52" s="13"/>
      <c r="C52" s="6"/>
      <c r="D52" s="7">
        <v>0</v>
      </c>
      <c r="E52" s="8">
        <f t="shared" si="3"/>
        <v>0</v>
      </c>
      <c r="F52" s="6"/>
      <c r="G52" s="9">
        <f>SUM($C$4:C52)</f>
        <v>406</v>
      </c>
      <c r="H52" s="9" t="str">
        <f t="shared" si="4"/>
        <v/>
      </c>
      <c r="I52" s="10" t="str">
        <f t="shared" si="5"/>
        <v/>
      </c>
      <c r="J52" s="9">
        <f>AVERAGE($E$4:E52)</f>
        <v>8.1020408163265305</v>
      </c>
      <c r="K52" s="11"/>
    </row>
    <row r="53" spans="1:11" ht="18" customHeight="1" x14ac:dyDescent="0.25">
      <c r="A53" s="12">
        <v>50</v>
      </c>
      <c r="B53" s="13"/>
      <c r="C53" s="6"/>
      <c r="D53" s="7">
        <v>0</v>
      </c>
      <c r="E53" s="8">
        <f t="shared" si="3"/>
        <v>0</v>
      </c>
      <c r="F53" s="6"/>
      <c r="G53" s="14">
        <f>SUM($C$4:C53)</f>
        <v>406</v>
      </c>
      <c r="H53" s="14" t="str">
        <f t="shared" si="4"/>
        <v/>
      </c>
      <c r="I53" s="15" t="str">
        <f t="shared" si="5"/>
        <v/>
      </c>
      <c r="J53" s="14">
        <f>AVERAGE($E$4:E53)</f>
        <v>7.94</v>
      </c>
      <c r="K53" s="11"/>
    </row>
    <row r="54" spans="1:11" ht="18" customHeight="1" x14ac:dyDescent="0.25">
      <c r="A54" s="4">
        <v>51</v>
      </c>
      <c r="B54" s="13"/>
      <c r="C54" s="6"/>
      <c r="D54" s="7">
        <v>0</v>
      </c>
      <c r="E54" s="8">
        <f t="shared" si="3"/>
        <v>0</v>
      </c>
      <c r="F54" s="6"/>
      <c r="G54" s="9">
        <f>SUM($C$4:C54)</f>
        <v>406</v>
      </c>
      <c r="H54" s="9" t="str">
        <f t="shared" si="4"/>
        <v/>
      </c>
      <c r="I54" s="10" t="str">
        <f t="shared" si="5"/>
        <v/>
      </c>
      <c r="J54" s="9">
        <f>AVERAGE($E$4:E54)</f>
        <v>7.784313725490196</v>
      </c>
      <c r="K54" s="11"/>
    </row>
    <row r="55" spans="1:11" ht="18" customHeight="1" x14ac:dyDescent="0.25">
      <c r="A55" s="12">
        <v>52</v>
      </c>
      <c r="B55" s="13"/>
      <c r="C55" s="6"/>
      <c r="D55" s="7">
        <v>0</v>
      </c>
      <c r="E55" s="8">
        <f t="shared" si="3"/>
        <v>0</v>
      </c>
      <c r="F55" s="6"/>
      <c r="G55" s="14">
        <f>SUM($C$4:C55)</f>
        <v>406</v>
      </c>
      <c r="H55" s="14" t="str">
        <f t="shared" si="4"/>
        <v/>
      </c>
      <c r="I55" s="15" t="str">
        <f t="shared" si="5"/>
        <v/>
      </c>
      <c r="J55" s="14">
        <f>AVERAGE($E$4:E55)</f>
        <v>7.634615384615385</v>
      </c>
      <c r="K55" s="11"/>
    </row>
    <row r="56" spans="1:11" ht="18" customHeight="1" x14ac:dyDescent="0.25">
      <c r="A56" s="4">
        <v>53</v>
      </c>
      <c r="B56" s="13"/>
      <c r="C56" s="6"/>
      <c r="D56" s="7">
        <v>0</v>
      </c>
      <c r="E56" s="8">
        <f t="shared" si="3"/>
        <v>0</v>
      </c>
      <c r="F56" s="6"/>
      <c r="G56" s="9">
        <f>SUM($C$4:C56)</f>
        <v>406</v>
      </c>
      <c r="H56" s="9" t="str">
        <f t="shared" si="4"/>
        <v/>
      </c>
      <c r="I56" s="10" t="str">
        <f t="shared" si="5"/>
        <v/>
      </c>
      <c r="J56" s="9">
        <f>AVERAGE($E$4:E56)</f>
        <v>7.4905660377358494</v>
      </c>
      <c r="K56" s="11"/>
    </row>
    <row r="57" spans="1:11" ht="18" customHeight="1" x14ac:dyDescent="0.25">
      <c r="A57" s="12">
        <v>54</v>
      </c>
      <c r="B57" s="13"/>
      <c r="C57" s="6"/>
      <c r="D57" s="7">
        <v>0</v>
      </c>
      <c r="E57" s="8">
        <f t="shared" si="3"/>
        <v>0</v>
      </c>
      <c r="F57" s="6"/>
      <c r="G57" s="14">
        <f>SUM($C$4:C57)</f>
        <v>406</v>
      </c>
      <c r="H57" s="14" t="str">
        <f t="shared" si="4"/>
        <v/>
      </c>
      <c r="I57" s="15" t="str">
        <f t="shared" si="5"/>
        <v/>
      </c>
      <c r="J57" s="14">
        <f>AVERAGE($E$4:E57)</f>
        <v>7.3518518518518521</v>
      </c>
      <c r="K57" s="11"/>
    </row>
    <row r="58" spans="1:11" ht="18" customHeight="1" x14ac:dyDescent="0.25">
      <c r="A58" s="4">
        <v>55</v>
      </c>
      <c r="B58" s="13"/>
      <c r="C58" s="6"/>
      <c r="D58" s="7">
        <v>0</v>
      </c>
      <c r="E58" s="8">
        <f t="shared" si="3"/>
        <v>0</v>
      </c>
      <c r="F58" s="6"/>
      <c r="G58" s="9">
        <f>SUM($C$4:C58)</f>
        <v>406</v>
      </c>
      <c r="H58" s="9" t="str">
        <f t="shared" si="4"/>
        <v/>
      </c>
      <c r="I58" s="10" t="str">
        <f t="shared" si="5"/>
        <v/>
      </c>
      <c r="J58" s="9">
        <f>AVERAGE($E$4:E58)</f>
        <v>7.2181818181818178</v>
      </c>
      <c r="K58" s="11"/>
    </row>
    <row r="59" spans="1:11" ht="18" customHeight="1" x14ac:dyDescent="0.25">
      <c r="A59" s="12">
        <v>56</v>
      </c>
      <c r="B59" s="13"/>
      <c r="C59" s="6"/>
      <c r="D59" s="7">
        <v>0</v>
      </c>
      <c r="E59" s="8">
        <f t="shared" si="3"/>
        <v>0</v>
      </c>
      <c r="F59" s="6"/>
      <c r="G59" s="14">
        <f>SUM($C$4:C59)</f>
        <v>406</v>
      </c>
      <c r="H59" s="14" t="str">
        <f t="shared" si="4"/>
        <v/>
      </c>
      <c r="I59" s="15" t="str">
        <f t="shared" si="5"/>
        <v/>
      </c>
      <c r="J59" s="14">
        <f>AVERAGE($E$4:E59)</f>
        <v>7.0892857142857144</v>
      </c>
      <c r="K59" s="11"/>
    </row>
    <row r="60" spans="1:11" ht="18" customHeight="1" x14ac:dyDescent="0.25">
      <c r="A60" s="4">
        <v>57</v>
      </c>
      <c r="B60" s="13"/>
      <c r="C60" s="6"/>
      <c r="D60" s="7">
        <v>0</v>
      </c>
      <c r="E60" s="8">
        <f t="shared" si="3"/>
        <v>0</v>
      </c>
      <c r="F60" s="6"/>
      <c r="G60" s="9">
        <f>SUM($C$4:C60)</f>
        <v>406</v>
      </c>
      <c r="H60" s="9" t="str">
        <f t="shared" si="4"/>
        <v/>
      </c>
      <c r="I60" s="10" t="str">
        <f t="shared" si="5"/>
        <v/>
      </c>
      <c r="J60" s="9">
        <f>AVERAGE($E$4:E60)</f>
        <v>6.9649122807017543</v>
      </c>
      <c r="K60" s="11"/>
    </row>
    <row r="61" spans="1:11" ht="18" customHeight="1" x14ac:dyDescent="0.25">
      <c r="A61" s="12">
        <v>58</v>
      </c>
      <c r="B61" s="13"/>
      <c r="C61" s="6"/>
      <c r="D61" s="7">
        <v>0</v>
      </c>
      <c r="E61" s="8">
        <f t="shared" si="3"/>
        <v>0</v>
      </c>
      <c r="F61" s="6"/>
      <c r="G61" s="14">
        <f>SUM($C$4:C61)</f>
        <v>406</v>
      </c>
      <c r="H61" s="14" t="str">
        <f t="shared" si="4"/>
        <v/>
      </c>
      <c r="I61" s="15" t="str">
        <f t="shared" si="5"/>
        <v/>
      </c>
      <c r="J61" s="14">
        <f>AVERAGE($E$4:E61)</f>
        <v>6.8448275862068968</v>
      </c>
      <c r="K61" s="11"/>
    </row>
    <row r="62" spans="1:11" ht="18" customHeight="1" x14ac:dyDescent="0.25">
      <c r="A62" s="4">
        <v>59</v>
      </c>
      <c r="B62" s="13"/>
      <c r="C62" s="6"/>
      <c r="D62" s="7">
        <v>0</v>
      </c>
      <c r="E62" s="8">
        <f t="shared" si="3"/>
        <v>0</v>
      </c>
      <c r="F62" s="6"/>
      <c r="G62" s="9">
        <f>SUM($C$4:C62)</f>
        <v>406</v>
      </c>
      <c r="H62" s="9" t="str">
        <f t="shared" si="4"/>
        <v/>
      </c>
      <c r="I62" s="10" t="str">
        <f t="shared" si="5"/>
        <v/>
      </c>
      <c r="J62" s="9">
        <f>AVERAGE($E$4:E62)</f>
        <v>6.7288135593220337</v>
      </c>
      <c r="K62" s="11"/>
    </row>
    <row r="63" spans="1:11" ht="18" customHeight="1" x14ac:dyDescent="0.25">
      <c r="A63" s="12">
        <v>60</v>
      </c>
      <c r="B63" s="13"/>
      <c r="C63" s="6"/>
      <c r="D63" s="7">
        <v>0</v>
      </c>
      <c r="E63" s="8">
        <f t="shared" si="3"/>
        <v>0</v>
      </c>
      <c r="F63" s="6"/>
      <c r="G63" s="14">
        <f>SUM($C$4:C63)</f>
        <v>406</v>
      </c>
      <c r="H63" s="14" t="str">
        <f t="shared" si="4"/>
        <v/>
      </c>
      <c r="I63" s="15" t="str">
        <f t="shared" si="5"/>
        <v/>
      </c>
      <c r="J63" s="14">
        <f>AVERAGE($E$4:E63)</f>
        <v>6.6166666666666663</v>
      </c>
      <c r="K63" s="11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pane ySplit="2" topLeftCell="A3" activePane="bottomLeft" state="frozen"/>
      <selection pane="bottomLeft" activeCell="B8" sqref="B8"/>
    </sheetView>
  </sheetViews>
  <sheetFormatPr baseColWidth="10" defaultColWidth="8.7109375" defaultRowHeight="15" x14ac:dyDescent="0.25"/>
  <cols>
    <col min="1" max="1" width="30" customWidth="1"/>
    <col min="2" max="2" width="22" customWidth="1"/>
    <col min="3" max="3" width="4" customWidth="1"/>
    <col min="4" max="4" width="30" customWidth="1"/>
    <col min="5" max="7" width="22" customWidth="1"/>
  </cols>
  <sheetData>
    <row r="1" spans="1:7" ht="30" customHeight="1" x14ac:dyDescent="0.25">
      <c r="A1" s="26" t="s">
        <v>14</v>
      </c>
      <c r="B1" s="26"/>
      <c r="C1" s="26"/>
      <c r="D1" s="26"/>
      <c r="E1" s="26"/>
    </row>
    <row r="2" spans="1:7" ht="13.5" customHeight="1" x14ac:dyDescent="0.25">
      <c r="A2" s="25" t="s">
        <v>15</v>
      </c>
      <c r="B2" s="25"/>
      <c r="C2" s="25"/>
      <c r="D2" s="25"/>
      <c r="E2" s="25"/>
    </row>
    <row r="3" spans="1:7" ht="21.75" customHeight="1" x14ac:dyDescent="0.25">
      <c r="A3" s="27" t="s">
        <v>16</v>
      </c>
      <c r="B3" s="27"/>
      <c r="D3" s="27" t="s">
        <v>17</v>
      </c>
      <c r="E3" s="27"/>
      <c r="F3" s="16" t="s">
        <v>18</v>
      </c>
      <c r="G3" s="16" t="s">
        <v>19</v>
      </c>
    </row>
    <row r="4" spans="1:7" ht="18" customHeight="1" x14ac:dyDescent="0.25">
      <c r="A4" s="17" t="s">
        <v>20</v>
      </c>
      <c r="B4" s="18">
        <f>IFERROR(LOOKUP(2,1/(Registro_Mensual!G4:G63&lt;&gt;""),Registro_Mensual!G4:G63),"")</f>
        <v>406</v>
      </c>
      <c r="D4" s="28" t="s">
        <v>21</v>
      </c>
      <c r="E4" s="28"/>
    </row>
    <row r="5" spans="1:7" ht="18" customHeight="1" x14ac:dyDescent="0.25">
      <c r="A5" s="17" t="s">
        <v>22</v>
      </c>
      <c r="B5" s="18">
        <f ca="1">OFFSET(Registro_Mensual!F3,COUNTA(Registro_Mensual!F4:F63),0)</f>
        <v>420</v>
      </c>
      <c r="D5" s="17" t="s">
        <v>23</v>
      </c>
      <c r="E5" s="18">
        <f>B8</f>
        <v>99.25</v>
      </c>
      <c r="F5" s="19"/>
      <c r="G5" s="19"/>
    </row>
    <row r="6" spans="1:7" ht="18" customHeight="1" x14ac:dyDescent="0.25">
      <c r="A6" s="17" t="s">
        <v>24</v>
      </c>
      <c r="B6" s="18">
        <f ca="1">IFERROR(B5-B4,"")</f>
        <v>14</v>
      </c>
      <c r="D6" s="17" t="s">
        <v>25</v>
      </c>
      <c r="E6" s="20">
        <v>0.08</v>
      </c>
      <c r="F6" s="19"/>
      <c r="G6" s="19"/>
    </row>
    <row r="7" spans="1:7" ht="18" customHeight="1" x14ac:dyDescent="0.25">
      <c r="A7" s="17" t="s">
        <v>26</v>
      </c>
      <c r="B7" s="21">
        <f ca="1">IFERROR(B5/B4-1,"")</f>
        <v>3.4482758620689724E-2</v>
      </c>
      <c r="D7" s="17" t="s">
        <v>27</v>
      </c>
      <c r="E7" s="18">
        <f>E5*((1+E6/12)^60-1)/(E6/12)</f>
        <v>7292.5779823401608</v>
      </c>
      <c r="F7" s="23">
        <f>E5*60</f>
        <v>5955</v>
      </c>
      <c r="G7" s="23">
        <f>E7-F7</f>
        <v>1337.5779823401608</v>
      </c>
    </row>
    <row r="8" spans="1:7" ht="18" customHeight="1" x14ac:dyDescent="0.25">
      <c r="A8" s="17" t="s">
        <v>28</v>
      </c>
      <c r="B8" s="18">
        <f>IFERROR(AVERAGEIF(Registro_Mensual!C4:C63,"&gt;0",Registro_Mensual!E4:E63),"")</f>
        <v>99.25</v>
      </c>
      <c r="D8" s="17" t="s">
        <v>29</v>
      </c>
      <c r="E8" s="18">
        <f>E5*((1+E6/12)^120-1)/(E6/12)</f>
        <v>18157.393991784433</v>
      </c>
      <c r="F8" s="23">
        <f>E5*120</f>
        <v>11910</v>
      </c>
      <c r="G8" s="23">
        <f>E8-F8</f>
        <v>6247.3939917844327</v>
      </c>
    </row>
    <row r="9" spans="1:7" ht="18" customHeight="1" x14ac:dyDescent="0.25">
      <c r="A9" s="17" t="s">
        <v>30</v>
      </c>
      <c r="B9" s="22">
        <f>COUNTIF(Registro_Mensual!C4:C63,"&gt;0")</f>
        <v>4</v>
      </c>
      <c r="D9" s="17" t="s">
        <v>31</v>
      </c>
      <c r="E9" s="18">
        <f>E5*((1+E6/12)^240-1)/(E6/12)</f>
        <v>58460.276250429619</v>
      </c>
      <c r="F9" s="23">
        <f>E5*240</f>
        <v>23820</v>
      </c>
      <c r="G9" s="23">
        <f>E9-F9</f>
        <v>34640.276250429619</v>
      </c>
    </row>
    <row r="10" spans="1:7" ht="18" customHeight="1" x14ac:dyDescent="0.25">
      <c r="A10" s="31" t="s">
        <v>32</v>
      </c>
      <c r="B10" s="31"/>
      <c r="D10" s="17" t="s">
        <v>33</v>
      </c>
      <c r="E10" s="18">
        <f>E5*((1+E6/12)^360-1)/(E6/12)</f>
        <v>147918.17527983681</v>
      </c>
      <c r="F10" s="23">
        <f>E5*360</f>
        <v>35730</v>
      </c>
      <c r="G10" s="23">
        <f>E10-F10</f>
        <v>112188.17527983681</v>
      </c>
    </row>
    <row r="11" spans="1:7" ht="18" customHeight="1" x14ac:dyDescent="0.25">
      <c r="A11" s="1"/>
      <c r="B11" s="1"/>
      <c r="D11" s="17" t="s">
        <v>41</v>
      </c>
      <c r="E11" s="18">
        <f>E5*((1+E6/12)^480-1)/(E6/12)</f>
        <v>346482.52726334758</v>
      </c>
      <c r="F11" s="23">
        <f>E5*480</f>
        <v>47640</v>
      </c>
      <c r="G11" s="23">
        <f>E11-F11</f>
        <v>298842.52726334758</v>
      </c>
    </row>
    <row r="12" spans="1:7" ht="15" customHeight="1" x14ac:dyDescent="0.25">
      <c r="D12" s="32" t="s">
        <v>34</v>
      </c>
      <c r="E12" s="32"/>
    </row>
    <row r="13" spans="1:7" ht="21.75" customHeight="1" x14ac:dyDescent="0.25">
      <c r="A13" s="33" t="s">
        <v>35</v>
      </c>
      <c r="B13" s="33"/>
      <c r="C13" s="33"/>
      <c r="D13" s="33"/>
      <c r="E13" s="33"/>
    </row>
    <row r="14" spans="1:7" ht="21.75" customHeight="1" x14ac:dyDescent="0.25">
      <c r="A14" s="29" t="s">
        <v>36</v>
      </c>
      <c r="B14" s="29"/>
      <c r="C14" s="29"/>
      <c r="D14" s="29"/>
      <c r="E14" s="29"/>
    </row>
    <row r="15" spans="1:7" ht="21.75" customHeight="1" x14ac:dyDescent="0.25">
      <c r="A15" s="30" t="s">
        <v>37</v>
      </c>
      <c r="B15" s="30"/>
      <c r="C15" s="30"/>
      <c r="D15" s="30"/>
      <c r="E15" s="30"/>
    </row>
    <row r="16" spans="1:7" ht="21.75" customHeight="1" x14ac:dyDescent="0.25">
      <c r="A16" s="29" t="s">
        <v>38</v>
      </c>
      <c r="B16" s="29"/>
      <c r="C16" s="29"/>
      <c r="D16" s="29"/>
      <c r="E16" s="29"/>
    </row>
    <row r="17" spans="1:5" ht="21.75" customHeight="1" x14ac:dyDescent="0.25">
      <c r="A17" s="30" t="s">
        <v>39</v>
      </c>
      <c r="B17" s="30"/>
      <c r="C17" s="30"/>
      <c r="D17" s="30"/>
      <c r="E17" s="30"/>
    </row>
    <row r="18" spans="1:5" ht="21.75" customHeight="1" x14ac:dyDescent="0.25">
      <c r="A18" s="29" t="s">
        <v>40</v>
      </c>
      <c r="B18" s="29"/>
      <c r="C18" s="29"/>
      <c r="D18" s="29"/>
      <c r="E18" s="29"/>
    </row>
  </sheetData>
  <mergeCells count="13">
    <mergeCell ref="A16:E16"/>
    <mergeCell ref="A17:E17"/>
    <mergeCell ref="A18:E18"/>
    <mergeCell ref="A10:B10"/>
    <mergeCell ref="D12:E12"/>
    <mergeCell ref="A13:E13"/>
    <mergeCell ref="A14:E14"/>
    <mergeCell ref="A15:E15"/>
    <mergeCell ref="A1:E1"/>
    <mergeCell ref="A2:E2"/>
    <mergeCell ref="A3:B3"/>
    <mergeCell ref="D3:E3"/>
    <mergeCell ref="D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CF63-A9CC-4BE2-B119-A050F91FC767}">
  <dimension ref="B1:G12"/>
  <sheetViews>
    <sheetView showGridLines="0" workbookViewId="0">
      <selection activeCell="D12" sqref="D12"/>
    </sheetView>
  </sheetViews>
  <sheetFormatPr baseColWidth="10" defaultRowHeight="15" x14ac:dyDescent="0.25"/>
  <cols>
    <col min="2" max="2" width="12" customWidth="1"/>
    <col min="3" max="3" width="13.42578125" style="35" customWidth="1"/>
    <col min="5" max="5" width="12.7109375" bestFit="1" customWidth="1"/>
    <col min="6" max="6" width="13.7109375" customWidth="1"/>
    <col min="7" max="7" width="11.42578125" style="44"/>
  </cols>
  <sheetData>
    <row r="1" spans="2:7" x14ac:dyDescent="0.25">
      <c r="B1" s="45" t="s">
        <v>50</v>
      </c>
      <c r="C1" s="45"/>
      <c r="E1" s="45" t="s">
        <v>47</v>
      </c>
      <c r="F1" s="45"/>
      <c r="G1" s="45"/>
    </row>
    <row r="2" spans="2:7" x14ac:dyDescent="0.25">
      <c r="B2" s="41" t="s">
        <v>46</v>
      </c>
      <c r="C2" s="43" t="s">
        <v>48</v>
      </c>
      <c r="E2" t="s">
        <v>46</v>
      </c>
      <c r="F2" t="s">
        <v>49</v>
      </c>
      <c r="G2" s="44" t="s">
        <v>48</v>
      </c>
    </row>
    <row r="3" spans="2:7" x14ac:dyDescent="0.25">
      <c r="B3" s="37" t="s">
        <v>42</v>
      </c>
      <c r="C3" s="38">
        <v>132</v>
      </c>
      <c r="E3" t="s">
        <v>45</v>
      </c>
      <c r="F3" s="34">
        <v>46218</v>
      </c>
      <c r="G3" s="44">
        <v>8</v>
      </c>
    </row>
    <row r="4" spans="2:7" x14ac:dyDescent="0.25">
      <c r="B4" s="37" t="s">
        <v>44</v>
      </c>
      <c r="C4" s="38">
        <v>20</v>
      </c>
      <c r="E4" t="s">
        <v>45</v>
      </c>
      <c r="F4" s="34">
        <v>46219</v>
      </c>
      <c r="G4" s="44">
        <v>7.88</v>
      </c>
    </row>
    <row r="5" spans="2:7" x14ac:dyDescent="0.25">
      <c r="B5" s="37" t="s">
        <v>45</v>
      </c>
      <c r="C5" s="38">
        <v>32</v>
      </c>
      <c r="E5" t="s">
        <v>44</v>
      </c>
      <c r="F5" s="34">
        <v>46220</v>
      </c>
      <c r="G5" s="44">
        <v>19.399999999999999</v>
      </c>
    </row>
    <row r="6" spans="2:7" x14ac:dyDescent="0.25">
      <c r="B6" s="37"/>
      <c r="C6" s="38"/>
      <c r="E6" t="s">
        <v>42</v>
      </c>
      <c r="F6" s="34">
        <v>46232</v>
      </c>
      <c r="G6" s="44">
        <v>131</v>
      </c>
    </row>
    <row r="7" spans="2:7" x14ac:dyDescent="0.25">
      <c r="B7" s="37"/>
      <c r="C7" s="38"/>
    </row>
    <row r="8" spans="2:7" x14ac:dyDescent="0.25">
      <c r="B8" s="37"/>
      <c r="C8" s="38"/>
    </row>
    <row r="9" spans="2:7" x14ac:dyDescent="0.25">
      <c r="B9" s="37"/>
      <c r="C9" s="38"/>
    </row>
    <row r="10" spans="2:7" x14ac:dyDescent="0.25">
      <c r="B10" s="37"/>
      <c r="C10" s="38"/>
    </row>
    <row r="11" spans="2:7" x14ac:dyDescent="0.25">
      <c r="B11" s="39"/>
      <c r="C11" s="40"/>
    </row>
    <row r="12" spans="2:7" x14ac:dyDescent="0.25">
      <c r="B12" s="42" t="s">
        <v>43</v>
      </c>
      <c r="C12" s="36">
        <f>SUM(C3:C11)</f>
        <v>184</v>
      </c>
    </row>
  </sheetData>
  <mergeCells count="2">
    <mergeCell ref="E1:G1"/>
    <mergeCell ref="B1:C1"/>
  </mergeCells>
  <conditionalFormatting sqref="C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{E26128B9-01F4-46FC-8E97-42D3D183D502}</x14:id>
        </ext>
      </extLst>
    </cfRule>
  </conditionalFormatting>
  <conditionalFormatting sqref="C3:C11 C13:C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{77F84ACE-D316-480D-B918-04CEA84DBCE9}</x14:id>
        </ext>
      </extLst>
    </cfRule>
  </conditionalFormatting>
  <conditionalFormatting sqref="C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{8574F4BE-9390-4DEC-A36D-A8EC7E2D95CF}</x14:id>
        </ext>
      </extLst>
    </cfRule>
  </conditionalFormatting>
  <conditionalFormatting sqref="C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{A19D6E6F-6841-43C9-8235-0F835BE2EFF0}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6128B9-01F4-46FC-8E97-42D3D183D5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77F84ACE-D316-480D-B918-04CEA84DB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C3:C11 C13:C1048576</xm:sqref>
        </x14:conditionalFormatting>
        <x14:conditionalFormatting xmlns:xm="http://schemas.microsoft.com/office/excel/2006/main">
          <x14:cfRule type="dataBar" id="{8574F4BE-9390-4DEC-A36D-A8EC7E2D9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A19D6E6F-6841-43C9-8235-0F835BE2EF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Registro_Mensual</vt:lpstr>
      <vt:lpstr>Resumen</vt:lpstr>
      <vt:lpstr>Beneficios bolsa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 Aragón Valderrama</cp:lastModifiedBy>
  <cp:revision>0</cp:revision>
  <dcterms:created xsi:type="dcterms:W3CDTF">2026-04-04T10:11:19Z</dcterms:created>
  <dcterms:modified xsi:type="dcterms:W3CDTF">2026-07-31T08:07:30Z</dcterms:modified>
  <dc:language>en-US</dc:language>
</cp:coreProperties>
</file>