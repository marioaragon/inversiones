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ag\Documents\GitHub\inversiones\inversiones\"/>
    </mc:Choice>
  </mc:AlternateContent>
  <xr:revisionPtr revIDLastSave="0" documentId="8_{DB83182A-60ED-4E97-9241-60CD8A0B9A5B}" xr6:coauthVersionLast="47" xr6:coauthVersionMax="47" xr10:uidLastSave="{00000000-0000-0000-0000-000000000000}"/>
  <bookViews>
    <workbookView xWindow="-120" yWindow="-120" windowWidth="20640" windowHeight="11040" tabRatio="500" firstSheet="1" activeTab="2" xr2:uid="{00000000-000D-0000-FFFF-FFFF00000000}"/>
  </bookViews>
  <sheets>
    <sheet name="Registro_Mensual" sheetId="1" r:id="rId1"/>
    <sheet name="Resumen" sheetId="2" r:id="rId2"/>
    <sheet name="Beneficios bolsa" sheetId="3" r:id="rId3"/>
  </sheets>
  <definedNames>
    <definedName name="_xlchart.v1.0" hidden="1">'Beneficios bolsa'!$B$3:$B$11</definedName>
    <definedName name="_xlchart.v1.1" hidden="1">'Beneficios bolsa'!$C$2</definedName>
    <definedName name="_xlchart.v1.2" hidden="1">'Beneficios bolsa'!$C$3:$C$11</definedName>
    <definedName name="_xlchart.v1.3" hidden="1">'Beneficios bolsa'!$D$2</definedName>
    <definedName name="_xlchart.v1.4" hidden="1">'Beneficios bolsa'!$D$3:$D$11</definedName>
  </definedNames>
  <calcPr calcId="191029" iterateDelta="1E-4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H15" i="3"/>
  <c r="H16" i="3"/>
  <c r="H17" i="3"/>
  <c r="C11" i="3"/>
  <c r="H14" i="3"/>
  <c r="H13" i="3"/>
  <c r="C3" i="3"/>
  <c r="Q9" i="3" a="1"/>
  <c r="Q9" i="3" s="1"/>
  <c r="Q6" i="3" a="1"/>
  <c r="Q6" i="3" s="1"/>
  <c r="Q8" i="3" a="1"/>
  <c r="Q8" i="3" s="1"/>
  <c r="Q11" i="3" a="1"/>
  <c r="Q11" i="3" s="1"/>
  <c r="Q14" i="3" a="1"/>
  <c r="Q14" i="3" s="1"/>
  <c r="Q3" i="3" a="1"/>
  <c r="Q3" i="3" s="1"/>
  <c r="I3" i="3"/>
  <c r="C4" i="3"/>
  <c r="C5" i="3"/>
  <c r="C6" i="3"/>
  <c r="C7" i="3"/>
  <c r="C8" i="3"/>
  <c r="C9" i="3"/>
  <c r="B9" i="2"/>
  <c r="B5" i="2"/>
  <c r="H63" i="1"/>
  <c r="G63" i="1"/>
  <c r="I63" i="1" s="1"/>
  <c r="E63" i="1"/>
  <c r="H62" i="1"/>
  <c r="G62" i="1"/>
  <c r="I62" i="1" s="1"/>
  <c r="E62" i="1"/>
  <c r="H61" i="1"/>
  <c r="G61" i="1"/>
  <c r="I61" i="1" s="1"/>
  <c r="E61" i="1"/>
  <c r="H60" i="1"/>
  <c r="G60" i="1"/>
  <c r="I60" i="1" s="1"/>
  <c r="E60" i="1"/>
  <c r="H59" i="1"/>
  <c r="G59" i="1"/>
  <c r="I59" i="1" s="1"/>
  <c r="E59" i="1"/>
  <c r="H58" i="1"/>
  <c r="G58" i="1"/>
  <c r="I58" i="1" s="1"/>
  <c r="E58" i="1"/>
  <c r="H57" i="1"/>
  <c r="G57" i="1"/>
  <c r="I57" i="1" s="1"/>
  <c r="E57" i="1"/>
  <c r="H56" i="1"/>
  <c r="G56" i="1"/>
  <c r="I56" i="1" s="1"/>
  <c r="E56" i="1"/>
  <c r="H55" i="1"/>
  <c r="G55" i="1"/>
  <c r="I55" i="1" s="1"/>
  <c r="E55" i="1"/>
  <c r="H54" i="1"/>
  <c r="G54" i="1"/>
  <c r="I54" i="1" s="1"/>
  <c r="E54" i="1"/>
  <c r="H53" i="1"/>
  <c r="G53" i="1"/>
  <c r="I53" i="1" s="1"/>
  <c r="E53" i="1"/>
  <c r="H52" i="1"/>
  <c r="G52" i="1"/>
  <c r="I52" i="1" s="1"/>
  <c r="E52" i="1"/>
  <c r="H51" i="1"/>
  <c r="G51" i="1"/>
  <c r="I51" i="1" s="1"/>
  <c r="E51" i="1"/>
  <c r="H50" i="1"/>
  <c r="G50" i="1"/>
  <c r="I50" i="1" s="1"/>
  <c r="E50" i="1"/>
  <c r="H49" i="1"/>
  <c r="G49" i="1"/>
  <c r="I49" i="1" s="1"/>
  <c r="E49" i="1"/>
  <c r="H48" i="1"/>
  <c r="G48" i="1"/>
  <c r="I48" i="1" s="1"/>
  <c r="E48" i="1"/>
  <c r="H47" i="1"/>
  <c r="G47" i="1"/>
  <c r="I47" i="1" s="1"/>
  <c r="E47" i="1"/>
  <c r="H46" i="1"/>
  <c r="G46" i="1"/>
  <c r="I46" i="1" s="1"/>
  <c r="E46" i="1"/>
  <c r="H45" i="1"/>
  <c r="G45" i="1"/>
  <c r="I45" i="1" s="1"/>
  <c r="E45" i="1"/>
  <c r="H44" i="1"/>
  <c r="G44" i="1"/>
  <c r="I44" i="1" s="1"/>
  <c r="E44" i="1"/>
  <c r="H43" i="1"/>
  <c r="G43" i="1"/>
  <c r="I43" i="1" s="1"/>
  <c r="E43" i="1"/>
  <c r="H42" i="1"/>
  <c r="G42" i="1"/>
  <c r="I42" i="1" s="1"/>
  <c r="E42" i="1"/>
  <c r="H41" i="1"/>
  <c r="G41" i="1"/>
  <c r="I41" i="1" s="1"/>
  <c r="E41" i="1"/>
  <c r="H40" i="1"/>
  <c r="G40" i="1"/>
  <c r="I40" i="1" s="1"/>
  <c r="E40" i="1"/>
  <c r="H39" i="1"/>
  <c r="G39" i="1"/>
  <c r="I39" i="1" s="1"/>
  <c r="E39" i="1"/>
  <c r="H38" i="1"/>
  <c r="G38" i="1"/>
  <c r="I38" i="1" s="1"/>
  <c r="E38" i="1"/>
  <c r="H37" i="1"/>
  <c r="G37" i="1"/>
  <c r="I37" i="1" s="1"/>
  <c r="E37" i="1"/>
  <c r="H36" i="1"/>
  <c r="G36" i="1"/>
  <c r="I36" i="1" s="1"/>
  <c r="E36" i="1"/>
  <c r="H35" i="1"/>
  <c r="G35" i="1"/>
  <c r="I35" i="1" s="1"/>
  <c r="E35" i="1"/>
  <c r="H34" i="1"/>
  <c r="G34" i="1"/>
  <c r="I34" i="1" s="1"/>
  <c r="E34" i="1"/>
  <c r="H33" i="1"/>
  <c r="G33" i="1"/>
  <c r="E33" i="1"/>
  <c r="H32" i="1"/>
  <c r="G32" i="1"/>
  <c r="I32" i="1" s="1"/>
  <c r="E32" i="1"/>
  <c r="H31" i="1"/>
  <c r="G31" i="1"/>
  <c r="I31" i="1" s="1"/>
  <c r="E31" i="1"/>
  <c r="H30" i="1"/>
  <c r="G30" i="1"/>
  <c r="I30" i="1" s="1"/>
  <c r="E30" i="1"/>
  <c r="H29" i="1"/>
  <c r="G29" i="1"/>
  <c r="I29" i="1" s="1"/>
  <c r="E29" i="1"/>
  <c r="H28" i="1"/>
  <c r="G28" i="1"/>
  <c r="I28" i="1" s="1"/>
  <c r="E28" i="1"/>
  <c r="H27" i="1"/>
  <c r="G27" i="1"/>
  <c r="I27" i="1" s="1"/>
  <c r="E27" i="1"/>
  <c r="H26" i="1"/>
  <c r="G26" i="1"/>
  <c r="I26" i="1" s="1"/>
  <c r="E26" i="1"/>
  <c r="H25" i="1"/>
  <c r="G25" i="1"/>
  <c r="I25" i="1" s="1"/>
  <c r="E25" i="1"/>
  <c r="H24" i="1"/>
  <c r="G24" i="1"/>
  <c r="I24" i="1" s="1"/>
  <c r="E24" i="1"/>
  <c r="H23" i="1"/>
  <c r="G23" i="1"/>
  <c r="I23" i="1" s="1"/>
  <c r="E23" i="1"/>
  <c r="H22" i="1"/>
  <c r="G22" i="1"/>
  <c r="I22" i="1" s="1"/>
  <c r="E22" i="1"/>
  <c r="H21" i="1"/>
  <c r="G21" i="1"/>
  <c r="I21" i="1" s="1"/>
  <c r="E21" i="1"/>
  <c r="H20" i="1"/>
  <c r="G20" i="1"/>
  <c r="I20" i="1" s="1"/>
  <c r="E20" i="1"/>
  <c r="H19" i="1"/>
  <c r="G19" i="1"/>
  <c r="I19" i="1" s="1"/>
  <c r="E19" i="1"/>
  <c r="H18" i="1"/>
  <c r="G18" i="1"/>
  <c r="I18" i="1" s="1"/>
  <c r="E18" i="1"/>
  <c r="H17" i="1"/>
  <c r="G17" i="1"/>
  <c r="I17" i="1" s="1"/>
  <c r="E17" i="1"/>
  <c r="H16" i="1"/>
  <c r="G16" i="1"/>
  <c r="I16" i="1" s="1"/>
  <c r="E16" i="1"/>
  <c r="H15" i="1"/>
  <c r="G15" i="1"/>
  <c r="I15" i="1" s="1"/>
  <c r="E15" i="1"/>
  <c r="H14" i="1"/>
  <c r="G14" i="1"/>
  <c r="I14" i="1" s="1"/>
  <c r="E14" i="1"/>
  <c r="H13" i="1"/>
  <c r="G13" i="1"/>
  <c r="I13" i="1" s="1"/>
  <c r="E13" i="1"/>
  <c r="H12" i="1"/>
  <c r="G12" i="1"/>
  <c r="I12" i="1" s="1"/>
  <c r="E12" i="1"/>
  <c r="H11" i="1"/>
  <c r="G11" i="1"/>
  <c r="I11" i="1" s="1"/>
  <c r="E11" i="1"/>
  <c r="H10" i="1"/>
  <c r="G10" i="1"/>
  <c r="I10" i="1" s="1"/>
  <c r="E10" i="1"/>
  <c r="H9" i="1"/>
  <c r="G9" i="1"/>
  <c r="I9" i="1" s="1"/>
  <c r="E9" i="1"/>
  <c r="H8" i="1"/>
  <c r="G8" i="1"/>
  <c r="I8" i="1" s="1"/>
  <c r="E8" i="1"/>
  <c r="H7" i="1"/>
  <c r="G7" i="1"/>
  <c r="I7" i="1" s="1"/>
  <c r="E7" i="1"/>
  <c r="G6" i="1"/>
  <c r="I6" i="1" s="1"/>
  <c r="E6" i="1"/>
  <c r="G5" i="1"/>
  <c r="I5" i="1" s="1"/>
  <c r="E5" i="1"/>
  <c r="G4" i="1"/>
  <c r="I4" i="1" s="1"/>
  <c r="E4" i="1"/>
  <c r="C10" i="3" l="1"/>
  <c r="C12" i="3" s="1"/>
  <c r="Q13" i="3" a="1"/>
  <c r="Q13" i="3" s="1"/>
  <c r="Q12" i="3" a="1"/>
  <c r="Q12" i="3" s="1"/>
  <c r="Q7" i="3" a="1"/>
  <c r="Q7" i="3" s="1"/>
  <c r="Q5" i="3" a="1"/>
  <c r="Q5" i="3" s="1"/>
  <c r="Q4" i="3" a="1"/>
  <c r="Q4" i="3" s="1"/>
  <c r="Q10" i="3" a="1"/>
  <c r="Q10" i="3" s="1"/>
  <c r="B4" i="2"/>
  <c r="B6" i="2" s="1"/>
  <c r="H4" i="1"/>
  <c r="H5" i="1"/>
  <c r="J7" i="1"/>
  <c r="H6" i="1"/>
  <c r="J62" i="1"/>
  <c r="I33" i="1"/>
  <c r="J31" i="1"/>
  <c r="J19" i="1"/>
  <c r="J12" i="1"/>
  <c r="J60" i="1"/>
  <c r="B8" i="2"/>
  <c r="E5" i="2" s="1"/>
  <c r="J5" i="1"/>
  <c r="J17" i="1"/>
  <c r="J29" i="1"/>
  <c r="J41" i="1"/>
  <c r="J53" i="1"/>
  <c r="J43" i="1"/>
  <c r="J55" i="1"/>
  <c r="J24" i="1"/>
  <c r="J48" i="1"/>
  <c r="J22" i="1"/>
  <c r="J34" i="1"/>
  <c r="J46" i="1"/>
  <c r="J58" i="1"/>
  <c r="J36" i="1"/>
  <c r="J10" i="1"/>
  <c r="J15" i="1"/>
  <c r="J27" i="1"/>
  <c r="J39" i="1"/>
  <c r="J51" i="1"/>
  <c r="J63" i="1"/>
  <c r="J8" i="1"/>
  <c r="J20" i="1"/>
  <c r="J56" i="1"/>
  <c r="J6" i="1"/>
  <c r="J18" i="1"/>
  <c r="J30" i="1"/>
  <c r="J42" i="1"/>
  <c r="J54" i="1"/>
  <c r="J25" i="1"/>
  <c r="J61" i="1"/>
  <c r="J11" i="1"/>
  <c r="J23" i="1"/>
  <c r="J35" i="1"/>
  <c r="J47" i="1"/>
  <c r="J59" i="1"/>
  <c r="J4" i="1"/>
  <c r="J16" i="1"/>
  <c r="J28" i="1"/>
  <c r="J40" i="1"/>
  <c r="J52" i="1"/>
  <c r="J32" i="1"/>
  <c r="J44" i="1"/>
  <c r="J9" i="1"/>
  <c r="J21" i="1"/>
  <c r="J33" i="1"/>
  <c r="J45" i="1"/>
  <c r="J57" i="1"/>
  <c r="J13" i="1"/>
  <c r="J37" i="1"/>
  <c r="J49" i="1"/>
  <c r="J14" i="1"/>
  <c r="J26" i="1"/>
  <c r="J38" i="1"/>
  <c r="J50" i="1"/>
  <c r="D4" i="3" l="1"/>
  <c r="D5" i="3"/>
  <c r="D6" i="3"/>
  <c r="D7" i="3"/>
  <c r="D8" i="3"/>
  <c r="D9" i="3"/>
  <c r="D10" i="3"/>
  <c r="D11" i="3"/>
  <c r="D3" i="3"/>
  <c r="B7" i="2"/>
  <c r="R10" i="3"/>
  <c r="R3" i="3"/>
  <c r="R5" i="3"/>
  <c r="R7" i="3"/>
  <c r="R12" i="3"/>
  <c r="R13" i="3"/>
  <c r="R9" i="3"/>
  <c r="R6" i="3"/>
  <c r="R14" i="3"/>
  <c r="R4" i="3"/>
  <c r="R11" i="3"/>
  <c r="R8" i="3"/>
  <c r="C13" i="3"/>
  <c r="C14" i="3" s="1"/>
  <c r="F11" i="2"/>
  <c r="E11" i="2"/>
  <c r="F7" i="2"/>
  <c r="F10" i="2"/>
  <c r="E7" i="2"/>
  <c r="E10" i="2"/>
  <c r="F9" i="2"/>
  <c r="E9" i="2"/>
  <c r="G9" i="2" s="1"/>
  <c r="F8" i="2"/>
  <c r="E8" i="2"/>
  <c r="G11" i="2" l="1"/>
  <c r="G10" i="2"/>
  <c r="G7" i="2"/>
  <c r="G8" i="2"/>
</calcChain>
</file>

<file path=xl/sharedStrings.xml><?xml version="1.0" encoding="utf-8"?>
<sst xmlns="http://schemas.openxmlformats.org/spreadsheetml/2006/main" count="94" uniqueCount="74">
  <si>
    <t>📈 SEGUIMIENTO DE INVERSIONES — S&amp;P 500</t>
  </si>
  <si>
    <t>Introduce cada mes: fecha, dinero aportado y valor actual de tu cartera</t>
  </si>
  <si>
    <t>Mes</t>
  </si>
  <si>
    <t>Fecha</t>
  </si>
  <si>
    <t>Aportación
(€)</t>
  </si>
  <si>
    <t>Comisión
(€)</t>
  </si>
  <si>
    <t>Líquido
Invertido (€)</t>
  </si>
  <si>
    <t>Valor Cartera
(€)</t>
  </si>
  <si>
    <t>Total Invertido
(€)</t>
  </si>
  <si>
    <t>Ganancia /
Pérdida (€)</t>
  </si>
  <si>
    <t>Rentabilidad
(%)</t>
  </si>
  <si>
    <t>Aportación
Media (€)</t>
  </si>
  <si>
    <t>Nota</t>
  </si>
  <si>
    <t>Primera aportación 🚀</t>
  </si>
  <si>
    <t>📊 RESUMEN DE TU INVERSIÓN EN S&amp;P 500</t>
  </si>
  <si>
    <t>Los datos se actualizan solos cuando rellenas el Registro Mensual</t>
  </si>
  <si>
    <t>💰 TU DINERO</t>
  </si>
  <si>
    <t>🔮 PROYECCIÓN SIMPLE</t>
  </si>
  <si>
    <t>Acumulado
Invertido</t>
  </si>
  <si>
    <t>Beneficio
Esperado</t>
  </si>
  <si>
    <t>Total aportado hasta hoy</t>
  </si>
  <si>
    <t>Simulación asumiendo rentabilidad histórica ~8% anual del S&amp;P 500</t>
  </si>
  <si>
    <t>Valor actual de la cartera</t>
  </si>
  <si>
    <t>Aportación mensual estimada</t>
  </si>
  <si>
    <t>Ganancia / Pérdida total</t>
  </si>
  <si>
    <t>Rentabilidad anual asumida</t>
  </si>
  <si>
    <t>Rentabilidad total</t>
  </si>
  <si>
    <t>En 5 años tendrías aprox.</t>
  </si>
  <si>
    <t>Aportación media mensual</t>
  </si>
  <si>
    <t>En 10 años tendrías aprox.</t>
  </si>
  <si>
    <t>Meses registrados</t>
  </si>
  <si>
    <t>En 20 años tendrías aprox.</t>
  </si>
  <si>
    <t>💡 Verde = ganancia · Rojo = pérdida</t>
  </si>
  <si>
    <t>En 30 años tendrías aprox.</t>
  </si>
  <si>
    <t>⚠️ Proyección orientativa. La rentabilidad pasada no garantiza la futura.</t>
  </si>
  <si>
    <t>📚 CONSEJOS PARA INVERTIR A LARGO PLAZO</t>
  </si>
  <si>
    <t>✅  Invierte una cantidad fija cada mes, sin importar si el mercado sube o baja (esto se llama 'Dollar Cost Averaging').</t>
  </si>
  <si>
    <t>✅  No mires la cartera cada día — el S&amp;P 500 tiene caídas frecuentes pero históricamente siempre ha subido a largo plazo.</t>
  </si>
  <si>
    <t>✅  Si en algún mes no puedes aportar, no pasa nada. Lo importante es la constancia a lo largo de los años.</t>
  </si>
  <si>
    <t>✅  Intenta no retirar el dinero cuando haya caídas — vender en rojo convierte las pérdidas temporales en pérdidas reales.</t>
  </si>
  <si>
    <t>✅  Rellena la columna 'Valor Cartera' una vez al mes para ver tu progreso real.</t>
  </si>
  <si>
    <t>En 40 años tendrías aprox.</t>
  </si>
  <si>
    <t>Coca Cola</t>
  </si>
  <si>
    <t>2026 TOTAL</t>
  </si>
  <si>
    <t>Allianz</t>
  </si>
  <si>
    <t>SP500</t>
  </si>
  <si>
    <t>Mercado</t>
  </si>
  <si>
    <t>Registro 2026</t>
  </si>
  <si>
    <t>Balance</t>
  </si>
  <si>
    <t>Fecha venta</t>
  </si>
  <si>
    <t>Balance 2026</t>
  </si>
  <si>
    <t>IRPF (19%)</t>
  </si>
  <si>
    <t>2026 NETO</t>
  </si>
  <si>
    <t>Acumulado</t>
  </si>
  <si>
    <t>Peso anual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</si>
  <si>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</si>
  <si>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</si>
  <si>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</si>
  <si>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</si>
  <si>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</si>
  <si>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</si>
  <si>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</si>
  <si>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</si>
  <si>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</si>
  <si>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</si>
  <si>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</si>
  <si>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</si>
  <si>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Spotify</t>
  </si>
  <si>
    <t>Nvidia</t>
  </si>
  <si>
    <t>Alphabet</t>
  </si>
  <si>
    <t>Uber</t>
  </si>
  <si>
    <t>SpaceX</t>
  </si>
  <si>
    <t>Prop</t>
  </si>
  <si>
    <t>CoreWeave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</si>
</sst>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#,##0.00&quot; €&quot;"/>
    <numFmt numFmtId="165" formatCode="0.0%"/>
    <numFmt numFmtId="166" formatCode="_-* #,##0\ &quot;€&quot;_-;\-* #,##0\ &quot;€&quot;_-;_-* &quot;-&quot;??\ &quot;€&quot;_-;_-@_-"/>
    <numFmt numFmtId="167" formatCode="_-* #,##0.00\ [$€-C0A]_-;\-* #,##0.00\ [$€-C0A]_-;_-* &quot;-&quot;??\ [$€-C0A]_-;_-@_-"/>
    <numFmt numFmtId="168" formatCode="_-[$€-2]\ * #,##0.00_-;\-[$€-2]\ * #,##0.00_-;_-[$€-2]\ * &quot;-&quot;??_-;_-@_-"/>
  </numFmts>
  <fonts count="1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2E75B6"/>
      <name val="Arial"/>
      <charset val="1"/>
    </font>
    <font>
      <b/>
      <sz val="10"/>
      <color rgb="FFFFFFFF"/>
      <name val="Arial"/>
      <charset val="1"/>
    </font>
    <font>
      <b/>
      <sz val="10"/>
      <color rgb="FF2E75B6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333333"/>
      <name val="Arial"/>
      <charset val="1"/>
    </font>
    <font>
      <sz val="10"/>
      <color rgb="FF1A1A1A"/>
      <name val="Arial"/>
      <charset val="1"/>
    </font>
    <font>
      <i/>
      <sz val="8"/>
      <color rgb="FF555555"/>
      <name val="Arial"/>
      <charset val="1"/>
    </font>
    <font>
      <i/>
      <sz val="9"/>
      <color rgb="FF555555"/>
      <name val="Arial"/>
      <charset val="1"/>
    </font>
    <font>
      <i/>
      <sz val="8"/>
      <color rgb="FFC0392B"/>
      <name val="Arial"/>
      <charset val="1"/>
    </font>
    <font>
      <sz val="9"/>
      <color rgb="FF1A1A1A"/>
      <name val="Arial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AF8"/>
        <bgColor rgb="FFEBF3FB"/>
      </patternFill>
    </fill>
    <fill>
      <patternFill patternType="solid">
        <fgColor rgb="FFFFFFFF"/>
        <bgColor rgb="FFFDFEFE"/>
      </patternFill>
    </fill>
    <fill>
      <patternFill patternType="solid">
        <fgColor rgb="FFEBF3FB"/>
        <bgColor rgb="FFEBF5FB"/>
      </patternFill>
    </fill>
    <fill>
      <patternFill patternType="solid">
        <fgColor rgb="FFF2F9FF"/>
        <bgColor rgb="FFEBF5FB"/>
      </patternFill>
    </fill>
    <fill>
      <patternFill patternType="solid">
        <fgColor rgb="FF2E75B6"/>
        <bgColor rgb="FF2471A3"/>
      </patternFill>
    </fill>
    <fill>
      <patternFill patternType="solid">
        <fgColor rgb="FFEBF5FB"/>
        <bgColor rgb="FFEBF3FB"/>
      </patternFill>
    </fill>
    <fill>
      <patternFill patternType="solid">
        <fgColor rgb="FF2471A3"/>
        <bgColor rgb="FF2E75B6"/>
      </patternFill>
    </fill>
    <fill>
      <patternFill patternType="solid">
        <fgColor rgb="FFFDFEFE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rgb="FFEBF5FB"/>
      </patternFill>
    </fill>
  </fills>
  <borders count="9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5" fillId="0" borderId="0" applyFont="0" applyFill="0" applyBorder="0" applyAlignment="0" applyProtection="0"/>
    <xf numFmtId="9" fontId="15" fillId="0" borderId="0" applyFont="0" applyFill="0" applyBorder="0" applyAlignment="0" applyProtection="0"/>
  </cellStyleXfs>
  <cellXfs count="62">
    <xf numFmtId="0" fontId="0" fillId="0" borderId="0" xfId="0"/>
    <xf numFmtId="0" fontId="1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4" fontId="5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0" fontId="6" fillId="6" borderId="1" xfId="0" applyNumberFormat="1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/>
    </xf>
    <xf numFmtId="164" fontId="10" fillId="0" borderId="1" xfId="0" applyNumberFormat="1" applyFont="1" applyBorder="1" applyAlignment="1">
      <alignment horizontal="center" vertical="center" wrapText="1"/>
    </xf>
    <xf numFmtId="0" fontId="0" fillId="8" borderId="0" xfId="0" applyFill="1"/>
    <xf numFmtId="165" fontId="5" fillId="0" borderId="1" xfId="0" applyNumberFormat="1" applyFont="1" applyBorder="1" applyAlignment="1">
      <alignment horizontal="center" vertical="center" wrapText="1"/>
    </xf>
    <xf numFmtId="10" fontId="10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/>
    </xf>
    <xf numFmtId="16" fontId="0" fillId="0" borderId="0" xfId="0" applyNumberFormat="1"/>
    <xf numFmtId="166" fontId="0" fillId="0" borderId="0" xfId="1" applyNumberFormat="1" applyFont="1"/>
    <xf numFmtId="0" fontId="0" fillId="0" borderId="3" xfId="0" applyBorder="1"/>
    <xf numFmtId="166" fontId="0" fillId="0" borderId="4" xfId="1" applyNumberFormat="1" applyFont="1" applyBorder="1"/>
    <xf numFmtId="166" fontId="0" fillId="0" borderId="7" xfId="1" applyNumberFormat="1" applyFont="1" applyBorder="1"/>
    <xf numFmtId="0" fontId="0" fillId="0" borderId="5" xfId="0" applyBorder="1"/>
    <xf numFmtId="166" fontId="0" fillId="0" borderId="6" xfId="1" applyNumberFormat="1" applyFont="1" applyBorder="1"/>
    <xf numFmtId="167" fontId="0" fillId="0" borderId="0" xfId="0" applyNumberFormat="1"/>
    <xf numFmtId="166" fontId="0" fillId="13" borderId="0" xfId="1" applyNumberFormat="1" applyFont="1" applyFill="1"/>
    <xf numFmtId="0" fontId="0" fillId="13" borderId="0" xfId="1" applyNumberFormat="1" applyFont="1" applyFill="1"/>
    <xf numFmtId="0" fontId="0" fillId="14" borderId="0" xfId="0" applyFill="1"/>
    <xf numFmtId="166" fontId="0" fillId="14" borderId="0" xfId="1" applyNumberFormat="1" applyFont="1" applyFill="1"/>
    <xf numFmtId="0" fontId="0" fillId="11" borderId="0" xfId="0" applyFill="1" applyBorder="1" applyAlignment="1">
      <alignment horizontal="center"/>
    </xf>
    <xf numFmtId="166" fontId="0" fillId="11" borderId="0" xfId="1" applyNumberFormat="1" applyFont="1" applyFill="1" applyBorder="1"/>
    <xf numFmtId="9" fontId="0" fillId="0" borderId="0" xfId="2" applyFont="1"/>
    <xf numFmtId="168" fontId="0" fillId="0" borderId="0" xfId="0" applyNumberFormat="1"/>
    <xf numFmtId="0" fontId="0" fillId="12" borderId="0" xfId="0" applyFill="1" applyAlignment="1">
      <alignment horizontal="center"/>
    </xf>
    <xf numFmtId="166" fontId="0" fillId="0" borderId="8" xfId="1" applyNumberFormat="1" applyFont="1" applyBorder="1"/>
    <xf numFmtId="9" fontId="0" fillId="0" borderId="0" xfId="2" applyFont="1" applyBorder="1"/>
    <xf numFmtId="0" fontId="4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164" fontId="5" fillId="15" borderId="1" xfId="0" applyNumberFormat="1" applyFont="1" applyFill="1" applyBorder="1" applyAlignment="1">
      <alignment horizontal="center" vertical="center" wrapText="1"/>
    </xf>
    <xf numFmtId="164" fontId="5" fillId="15" borderId="0" xfId="0" applyNumberFormat="1" applyFont="1" applyFill="1" applyAlignment="1">
      <alignment horizontal="center" vertical="center"/>
    </xf>
    <xf numFmtId="164" fontId="6" fillId="15" borderId="0" xfId="0" applyNumberFormat="1" applyFont="1" applyFill="1" applyAlignment="1">
      <alignment horizontal="center" vertical="center"/>
    </xf>
    <xf numFmtId="164" fontId="6" fillId="15" borderId="1" xfId="0" applyNumberFormat="1" applyFont="1" applyFill="1" applyBorder="1" applyAlignment="1">
      <alignment horizontal="center" vertical="center" wrapText="1"/>
    </xf>
    <xf numFmtId="10" fontId="6" fillId="15" borderId="1" xfId="0" applyNumberFormat="1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0" fillId="12" borderId="0" xfId="0" applyFill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3" formatCode="0%"/>
    </dxf>
    <dxf>
      <numFmt numFmtId="168" formatCode="_-[$€-2]\ * #,##0.00_-;\-[$€-2]\ * #,##0.00_-;_-[$€-2]\ * &quot;-&quot;??_-;_-@_-"/>
    </dxf>
    <dxf>
      <numFmt numFmtId="167" formatCode="_-* #,##0.00\ [$€-C0A]_-;\-* #,##0.00\ [$€-C0A]_-;_-* &quot;-&quot;??\ [$€-C0A]_-;_-@_-"/>
    </dxf>
    <dxf>
      <numFmt numFmtId="167" formatCode="_-* #,##0.00\ [$€-C0A]_-;\-* #,##0.00\ [$€-C0A]_-;_-* &quot;-&quot;??\ [$€-C0A]_-;_-@_-"/>
    </dxf>
    <dxf>
      <numFmt numFmtId="21" formatCode="dd\-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66" formatCode="_-* #,##0\ &quot;€&quot;_-;\-* #,##0\ &quot;€&quot;_-;_-* &quot;-&quot;??\ &quot;€&quot;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DFEFE"/>
      <rgbColor rgb="FFD6EAF8"/>
      <rgbColor rgb="FF660066"/>
      <rgbColor rgb="FFFF8080"/>
      <rgbColor rgb="FF2471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EBF3FB"/>
      <rgbColor rgb="FFF2F9FF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1A1A1A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ES"/>
              <a:t>Evolución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bolsa'!$H$2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'Beneficios bolsa'!$F$3:$G$18</c:f>
              <c:multiLvlStrCache>
                <c:ptCount val="16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  <c:pt idx="4">
                    <c:v>31-jul</c:v>
                  </c:pt>
                  <c:pt idx="5">
                    <c:v>20-ago</c:v>
                  </c:pt>
                  <c:pt idx="6">
                    <c:v>26-ago</c:v>
                  </c:pt>
                  <c:pt idx="7">
                    <c:v>27-ago</c:v>
                  </c:pt>
                  <c:pt idx="8">
                    <c:v>28-ago</c:v>
                  </c:pt>
                  <c:pt idx="9">
                    <c:v>28-ago</c:v>
                  </c:pt>
                  <c:pt idx="10">
                    <c:v>28-ago</c:v>
                  </c:pt>
                  <c:pt idx="11">
                    <c:v>31-ago</c:v>
                  </c:pt>
                  <c:pt idx="12">
                    <c:v>02-sep</c:v>
                  </c:pt>
                  <c:pt idx="13">
                    <c:v>03-sep</c:v>
                  </c:pt>
                  <c:pt idx="14">
                    <c:v>04-sep</c:v>
                  </c:pt>
                  <c:pt idx="15">
                    <c:v>22-sep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  <c:pt idx="4">
                    <c:v>Allianz</c:v>
                  </c:pt>
                  <c:pt idx="5">
                    <c:v>Spotify</c:v>
                  </c:pt>
                  <c:pt idx="6">
                    <c:v>Nvidia</c:v>
                  </c:pt>
                  <c:pt idx="7">
                    <c:v>Nvidia</c:v>
                  </c:pt>
                  <c:pt idx="8">
                    <c:v>Alphabet</c:v>
                  </c:pt>
                  <c:pt idx="9">
                    <c:v>Uber</c:v>
                  </c:pt>
                  <c:pt idx="10">
                    <c:v>SpaceX</c:v>
                  </c:pt>
                  <c:pt idx="11">
                    <c:v>SpaceX</c:v>
                  </c:pt>
                  <c:pt idx="12">
                    <c:v>Uber</c:v>
                  </c:pt>
                  <c:pt idx="13">
                    <c:v>SpaceX</c:v>
                  </c:pt>
                  <c:pt idx="14">
                    <c:v>CoreWeave</c:v>
                  </c:pt>
                  <c:pt idx="15">
                    <c:v>Nvidia</c:v>
                  </c:pt>
                </c:lvl>
              </c:multiLvlStrCache>
            </c:multiLvlStrRef>
          </c:cat>
          <c:val>
            <c:numRef>
              <c:f>'Beneficios bolsa'!$H$3:$H$18</c:f>
              <c:numCache>
                <c:formatCode>_-* #,##0.00\ [$€-C0A]_-;\-* #,##0.00\ [$€-C0A]_-;_-* "-"??\ [$€-C0A]_-;_-@_-</c:formatCode>
                <c:ptCount val="16"/>
                <c:pt idx="0">
                  <c:v>8</c:v>
                </c:pt>
                <c:pt idx="1">
                  <c:v>7.88</c:v>
                </c:pt>
                <c:pt idx="2">
                  <c:v>19.399999999999999</c:v>
                </c:pt>
                <c:pt idx="3">
                  <c:v>131</c:v>
                </c:pt>
                <c:pt idx="4">
                  <c:v>34</c:v>
                </c:pt>
                <c:pt idx="5">
                  <c:v>51</c:v>
                </c:pt>
                <c:pt idx="6">
                  <c:v>29.53</c:v>
                </c:pt>
                <c:pt idx="7">
                  <c:v>377.61</c:v>
                </c:pt>
                <c:pt idx="8">
                  <c:v>6</c:v>
                </c:pt>
                <c:pt idx="9">
                  <c:v>40.25</c:v>
                </c:pt>
                <c:pt idx="10">
                  <c:v>66.930000000000007</c:v>
                </c:pt>
                <c:pt idx="11">
                  <c:v>124.16</c:v>
                </c:pt>
                <c:pt idx="12">
                  <c:v>4.3900000000000006</c:v>
                </c:pt>
                <c:pt idx="13">
                  <c:v>319.77</c:v>
                </c:pt>
                <c:pt idx="14">
                  <c:v>28.5</c:v>
                </c:pt>
                <c:pt idx="15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1885366847"/>
        <c:axId val="1885367263"/>
      </c:barChart>
      <c:lineChart>
        <c:grouping val="standard"/>
        <c:varyColors val="0"/>
        <c:ser>
          <c:idx val="1"/>
          <c:order val="1"/>
          <c:tx>
            <c:strRef>
              <c:f>'Beneficios bolsa'!$I$2</c:f>
              <c:strCache>
                <c:ptCount val="1"/>
                <c:pt idx="0">
                  <c:v>Acumulado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'Beneficios bolsa'!$F$3:$G$18</c:f>
              <c:multiLvlStrCache>
                <c:ptCount val="16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  <c:pt idx="4">
                    <c:v>31-jul</c:v>
                  </c:pt>
                  <c:pt idx="5">
                    <c:v>20-ago</c:v>
                  </c:pt>
                  <c:pt idx="6">
                    <c:v>26-ago</c:v>
                  </c:pt>
                  <c:pt idx="7">
                    <c:v>27-ago</c:v>
                  </c:pt>
                  <c:pt idx="8">
                    <c:v>28-ago</c:v>
                  </c:pt>
                  <c:pt idx="9">
                    <c:v>28-ago</c:v>
                  </c:pt>
                  <c:pt idx="10">
                    <c:v>28-ago</c:v>
                  </c:pt>
                  <c:pt idx="11">
                    <c:v>31-ago</c:v>
                  </c:pt>
                  <c:pt idx="12">
                    <c:v>02-sep</c:v>
                  </c:pt>
                  <c:pt idx="13">
                    <c:v>03-sep</c:v>
                  </c:pt>
                  <c:pt idx="14">
                    <c:v>04-sep</c:v>
                  </c:pt>
                  <c:pt idx="15">
                    <c:v>22-sep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  <c:pt idx="4">
                    <c:v>Allianz</c:v>
                  </c:pt>
                  <c:pt idx="5">
                    <c:v>Spotify</c:v>
                  </c:pt>
                  <c:pt idx="6">
                    <c:v>Nvidia</c:v>
                  </c:pt>
                  <c:pt idx="7">
                    <c:v>Nvidia</c:v>
                  </c:pt>
                  <c:pt idx="8">
                    <c:v>Alphabet</c:v>
                  </c:pt>
                  <c:pt idx="9">
                    <c:v>Uber</c:v>
                  </c:pt>
                  <c:pt idx="10">
                    <c:v>SpaceX</c:v>
                  </c:pt>
                  <c:pt idx="11">
                    <c:v>SpaceX</c:v>
                  </c:pt>
                  <c:pt idx="12">
                    <c:v>Uber</c:v>
                  </c:pt>
                  <c:pt idx="13">
                    <c:v>SpaceX</c:v>
                  </c:pt>
                  <c:pt idx="14">
                    <c:v>CoreWeave</c:v>
                  </c:pt>
                  <c:pt idx="15">
                    <c:v>Nvidia</c:v>
                  </c:pt>
                </c:lvl>
              </c:multiLvlStrCache>
            </c:multiLvlStrRef>
          </c:cat>
          <c:val>
            <c:numRef>
              <c:f>'Beneficios bolsa'!$I$3:$I$18</c:f>
              <c:numCache>
                <c:formatCode>_-* #,##0.00\ [$€-C0A]_-;\-* #,##0.00\ [$€-C0A]_-;_-* "-"??\ [$€-C0A]_-;_-@_-</c:formatCode>
                <c:ptCount val="16"/>
                <c:pt idx="0">
                  <c:v>8</c:v>
                </c:pt>
                <c:pt idx="1">
                  <c:v>15.879999999999999</c:v>
                </c:pt>
                <c:pt idx="2">
                  <c:v>35.28</c:v>
                </c:pt>
                <c:pt idx="3">
                  <c:v>166.28</c:v>
                </c:pt>
                <c:pt idx="4">
                  <c:v>200.28</c:v>
                </c:pt>
                <c:pt idx="5">
                  <c:v>251.28</c:v>
                </c:pt>
                <c:pt idx="6">
                  <c:v>280.81</c:v>
                </c:pt>
                <c:pt idx="7">
                  <c:v>658.42000000000007</c:v>
                </c:pt>
                <c:pt idx="8">
                  <c:v>664.42000000000007</c:v>
                </c:pt>
                <c:pt idx="9">
                  <c:v>704.67000000000007</c:v>
                </c:pt>
                <c:pt idx="10">
                  <c:v>771.60000000000014</c:v>
                </c:pt>
                <c:pt idx="11">
                  <c:v>895.7600000000001</c:v>
                </c:pt>
                <c:pt idx="12">
                  <c:v>900.15000000000009</c:v>
                </c:pt>
                <c:pt idx="13">
                  <c:v>1219.92</c:v>
                </c:pt>
                <c:pt idx="14">
                  <c:v>1248.42</c:v>
                </c:pt>
                <c:pt idx="15">
                  <c:v>1300.42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5366847"/>
        <c:axId val="1885367263"/>
      </c:lineChart>
      <c:catAx>
        <c:axId val="18853668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7263"/>
        <c:crosses val="autoZero"/>
        <c:auto val="1"/>
        <c:lblAlgn val="ctr"/>
        <c:lblOffset val="100"/>
        <c:noMultiLvlLbl val="0"/>
      </c:catAx>
      <c:valAx>
        <c:axId val="188536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684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bolsa'!$Q$2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'Beneficios bolsa'!$P$3:$P$14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bolsa'!$Q$3:$Q$14</c:f>
              <c:numCache>
                <c:formatCode>_-[$€-2]\ * #,##0.00_-;\-[$€-2]\ * #,##0.00_-;_-[$€-2]\ * "-"??_-;_-@_-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200.28</c:v>
                </c:pt>
                <c:pt idx="7">
                  <c:v>695.4799999999999</c:v>
                </c:pt>
                <c:pt idx="8">
                  <c:v>404.65999999999997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08-4C6D-A5DF-F19A3C77E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7932496"/>
        <c:axId val="1267929584"/>
      </c:barChart>
      <c:lineChart>
        <c:grouping val="standard"/>
        <c:varyColors val="0"/>
        <c:ser>
          <c:idx val="1"/>
          <c:order val="1"/>
          <c:tx>
            <c:strRef>
              <c:f>'Beneficios bolsa'!$R$2</c:f>
              <c:strCache>
                <c:ptCount val="1"/>
                <c:pt idx="0">
                  <c:v>Peso anual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'Beneficios bolsa'!$P$3:$P$14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bolsa'!$R$3:$R$14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0.15401178080927702</c:v>
                </c:pt>
                <c:pt idx="7">
                  <c:v>0.53481183002414601</c:v>
                </c:pt>
                <c:pt idx="8">
                  <c:v>0.31117638916657697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08-4C6D-A5DF-F19A3C77E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7942064"/>
        <c:axId val="1267939568"/>
      </c:lineChart>
      <c:catAx>
        <c:axId val="126793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29584"/>
        <c:crosses val="autoZero"/>
        <c:auto val="1"/>
        <c:lblAlgn val="ctr"/>
        <c:lblOffset val="100"/>
        <c:noMultiLvlLbl val="0"/>
      </c:catAx>
      <c:valAx>
        <c:axId val="12679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32496"/>
        <c:crosses val="autoZero"/>
        <c:crossBetween val="between"/>
      </c:valAx>
      <c:valAx>
        <c:axId val="1267939568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42064"/>
        <c:crosses val="max"/>
        <c:crossBetween val="between"/>
      </c:valAx>
      <c:catAx>
        <c:axId val="12679420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6793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  <cx:data id="1">
      <cx:strDim type="cat">
        <cx:f>_xlchart.v1.0</cx:f>
      </cx:strDim>
      <cx:numDim type="size">
        <cx:f>_xlchart.v1.4</cx:f>
      </cx:numDim>
    </cx:data>
  </cx:chartData>
  <cx:chart>
    <cx:plotArea>
      <cx:plotAreaRegion>
        <cx:series layoutId="treemap" uniqueId="{7EA71D80-B4CB-41BB-B5A4-ACC62A489E92}" formatIdx="0">
          <cx:tx>
            <cx:txData>
              <cx:f>_xlchart.v1.1</cx:f>
              <cx:v> Balance 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  <cx:series layoutId="treemap" hidden="1" uniqueId="{85EA78A7-92EB-4523-98B8-D779EEC2DD29}" formatIdx="1">
          <cx:tx>
            <cx:txData>
              <cx:f>_xlchart.v1.3</cx:f>
              <cx:v> Prop </cx:v>
            </cx:txData>
          </cx:tx>
          <cx:dataId val="1"/>
          <cx:layoutPr/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323850</xdr:colOff>
      <xdr:row>1</xdr:row>
      <xdr:rowOff>42862</xdr:rowOff>
    </xdr:from>
    <xdr:to>
      <xdr:col>14</xdr:col>
      <xdr:colOff>561975</xdr:colOff>
      <xdr:row>15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C9278C-46FA-408B-A02E-0D893F00D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312965</xdr:colOff>
      <xdr:row>16</xdr:row>
      <xdr:rowOff>91167</xdr:rowOff>
    </xdr:from>
    <xdr:to>
      <xdr:col>14</xdr:col>
      <xdr:colOff>557893</xdr:colOff>
      <xdr:row>30</xdr:row>
      <xdr:rowOff>167367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2276D26-9FB6-49C5-B388-7DB35D315B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95250</xdr:colOff>
      <xdr:row>15</xdr:row>
      <xdr:rowOff>23132</xdr:rowOff>
    </xdr:from>
    <xdr:to>
      <xdr:col>22</xdr:col>
      <xdr:colOff>367393</xdr:colOff>
      <xdr:row>29</xdr:row>
      <xdr:rowOff>99332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5D488503-7A7F-4DDF-8147-592693D9013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68175" y="2880632"/>
              <a:ext cx="5691868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361EA0-38CE-405F-999E-E678479A76FE}" name="Tabla3" displayName="Tabla3" ref="B2:D11" totalsRowShown="0" headerRowBorderDxfId="10" tableBorderDxfId="9" totalsRowBorderDxfId="8">
  <autoFilter ref="B2:D11" xr:uid="{43361EA0-38CE-405F-999E-E678479A76FE}"/>
  <sortState xmlns:xlrd2="http://schemas.microsoft.com/office/spreadsheetml/2017/richdata2" ref="B3:C11">
    <sortCondition descending="1" ref="C3:C11"/>
  </sortState>
  <tableColumns count="3">
    <tableColumn id="1" xr3:uid="{5452176F-36B8-4CDD-9F33-5D70AA66A550}" name="Mercado" dataDxfId="7"/>
    <tableColumn id="3" xr3:uid="{AA88D4F0-70F9-4823-81E5-D366BE0621A3}" name="Balance" dataDxfId="6" dataCellStyle="Moneda">
      <calculatedColumnFormula>SUMIF(F:F,B3,H:H)</calculatedColumnFormula>
    </tableColumn>
    <tableColumn id="2" xr3:uid="{863A4A40-7E14-4485-AAD9-12FD76E33499}" name="Prop" dataDxfId="5" dataCellStyle="Porcentaje">
      <calculatedColumnFormula>Tabla3[[#This Row],[Balance]]/$C$12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EF1798-5DBC-4CC2-BF2B-D1627830BBD8}" name="Tabla4" displayName="Tabla4" ref="F2:I18" totalsRowShown="0">
  <autoFilter ref="F2:I18" xr:uid="{E0EF1798-5DBC-4CC2-BF2B-D1627830BBD8}"/>
  <tableColumns count="4">
    <tableColumn id="1" xr3:uid="{D7244F53-013B-49D1-84D7-0E66C32F39B4}" name="Mercado"/>
    <tableColumn id="2" xr3:uid="{28786B65-FA4E-4DA6-9569-A775903889EB}" name="Fecha venta" dataDxfId="4"/>
    <tableColumn id="3" xr3:uid="{00894C4B-3E6A-4755-9F14-59B8AD97246A}" name="Balance" dataDxfId="3"/>
    <tableColumn id="4" xr3:uid="{2A5F1324-D18F-4866-A09B-AC0F8A8E977C}" name="Acumulado" dataDxfId="2">
      <calculatedColumnFormula>SUM($H$3:H3)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052AB3-E623-41D6-B93A-D236D62ED596}" name="Tabla1" displayName="Tabla1" ref="P2:R14" totalsRowShown="0">
  <autoFilter ref="P2:R14" xr:uid="{85052AB3-E623-41D6-B93A-D236D62ED596}"/>
  <tableColumns count="3">
    <tableColumn id="1" xr3:uid="{21FC16B9-6E5E-4AAD-BCF0-C6A776FA39F3}" name="Mes"/>
    <tableColumn id="2" xr3:uid="{37D9736B-4BBA-4113-BEB6-FB1048207595}" name="Balance" dataDxfId="1">
      <calculatedColumnFormula array="1">SUMPRODUCT(($G$3:$G$112&lt;&gt;"")*(TEXT($G$3:$G$112,"mmmm")=P3)*$H$3:$H$112)</calculatedColumnFormula>
    </tableColumn>
    <tableColumn id="3" xr3:uid="{5B181ADE-DC8F-4395-A0B1-0AC4441D7B3C}" name="Peso anual" dataDxfId="0" dataCellStyle="Porcentaje">
      <calculatedColumnFormula>IFERROR($Q3/SUM($Q$3:$Q$14),0)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zoomScale="70" zoomScaleNormal="70" workbookViewId="0">
      <pane ySplit="3" topLeftCell="A4" activePane="bottomLeft" state="frozen"/>
      <selection pane="bottomLeft" activeCell="M15" sqref="M15"/>
    </sheetView>
  </sheetViews>
  <sheetFormatPr baseColWidth="10" defaultColWidth="8.7109375" defaultRowHeight="15" x14ac:dyDescent="0.25"/>
  <cols>
    <col min="1" max="1" width="12" customWidth="1"/>
    <col min="2" max="2" width="10.7109375" bestFit="1" customWidth="1"/>
    <col min="3" max="8" width="14" customWidth="1"/>
    <col min="9" max="9" width="20" customWidth="1"/>
    <col min="10" max="10" width="10.85546875" bestFit="1" customWidth="1"/>
    <col min="11" max="11" width="19.85546875" bestFit="1" customWidth="1"/>
  </cols>
  <sheetData>
    <row r="1" spans="1:11" ht="31.5" customHeight="1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</row>
    <row r="2" spans="1:11" ht="15.75" customHeight="1" x14ac:dyDescent="0.25">
      <c r="A2" s="52" t="s">
        <v>1</v>
      </c>
      <c r="B2" s="52"/>
      <c r="C2" s="52"/>
      <c r="D2" s="52"/>
      <c r="E2" s="52"/>
      <c r="F2" s="52"/>
      <c r="G2" s="52"/>
      <c r="H2" s="52"/>
      <c r="I2" s="52"/>
    </row>
    <row r="3" spans="1:11" ht="30" customHeight="1" x14ac:dyDescent="0.25">
      <c r="A3" s="2" t="s">
        <v>2</v>
      </c>
      <c r="B3" s="2" t="s">
        <v>3</v>
      </c>
      <c r="C3" s="2" t="s">
        <v>4</v>
      </c>
      <c r="D3" s="3" t="s">
        <v>5</v>
      </c>
      <c r="E3" s="3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ht="18" customHeight="1" x14ac:dyDescent="0.25">
      <c r="A4" s="4">
        <v>1</v>
      </c>
      <c r="B4" s="5">
        <v>46119</v>
      </c>
      <c r="C4" s="6">
        <v>100</v>
      </c>
      <c r="D4" s="7">
        <v>3</v>
      </c>
      <c r="E4" s="8">
        <f t="shared" ref="E4:E35" si="0">C4-D4</f>
        <v>97</v>
      </c>
      <c r="F4" s="6">
        <v>97</v>
      </c>
      <c r="G4" s="9">
        <f>SUM($C$4:C4)</f>
        <v>100</v>
      </c>
      <c r="H4" s="9">
        <f t="shared" ref="H4:H35" si="1">IF(F4="","",F4-G4)</f>
        <v>-3</v>
      </c>
      <c r="I4" s="10">
        <f t="shared" ref="I4:I35" si="2">IF(OR(F4="",G4=0),"",F4/G4-1)</f>
        <v>-3.0000000000000027E-2</v>
      </c>
      <c r="J4" s="9">
        <f>AVERAGE($E$4:E4)</f>
        <v>97</v>
      </c>
      <c r="K4" s="11" t="s">
        <v>13</v>
      </c>
    </row>
    <row r="5" spans="1:11" ht="18" customHeight="1" x14ac:dyDescent="0.25">
      <c r="A5" s="12">
        <v>2</v>
      </c>
      <c r="B5" s="5">
        <v>46139</v>
      </c>
      <c r="C5" s="6">
        <v>103</v>
      </c>
      <c r="D5" s="7">
        <v>3</v>
      </c>
      <c r="E5" s="8">
        <f t="shared" si="0"/>
        <v>100</v>
      </c>
      <c r="F5" s="6">
        <v>213</v>
      </c>
      <c r="G5" s="14">
        <f>SUM($C$4:C5)</f>
        <v>203</v>
      </c>
      <c r="H5" s="14">
        <f t="shared" si="1"/>
        <v>10</v>
      </c>
      <c r="I5" s="15">
        <f t="shared" si="2"/>
        <v>4.9261083743842304E-2</v>
      </c>
      <c r="J5" s="14">
        <f>AVERAGE($E$4:E5)</f>
        <v>98.5</v>
      </c>
      <c r="K5" s="11"/>
    </row>
    <row r="6" spans="1:11" ht="18" customHeight="1" x14ac:dyDescent="0.25">
      <c r="A6" s="4">
        <v>3</v>
      </c>
      <c r="B6" s="5">
        <v>46169</v>
      </c>
      <c r="C6" s="6">
        <v>103</v>
      </c>
      <c r="D6" s="7">
        <v>3</v>
      </c>
      <c r="E6" s="8">
        <f t="shared" si="0"/>
        <v>100</v>
      </c>
      <c r="F6" s="6">
        <v>319</v>
      </c>
      <c r="G6" s="9">
        <f>SUM($C$4:C6)</f>
        <v>306</v>
      </c>
      <c r="H6" s="9">
        <f t="shared" si="1"/>
        <v>13</v>
      </c>
      <c r="I6" s="10">
        <f t="shared" si="2"/>
        <v>4.2483660130719025E-2</v>
      </c>
      <c r="J6" s="9">
        <f>AVERAGE($E$4:E6)</f>
        <v>99</v>
      </c>
      <c r="K6" s="11"/>
    </row>
    <row r="7" spans="1:11" ht="18" customHeight="1" x14ac:dyDescent="0.25">
      <c r="A7" s="12">
        <v>4</v>
      </c>
      <c r="B7" s="5">
        <v>46175</v>
      </c>
      <c r="C7" s="6">
        <v>100</v>
      </c>
      <c r="D7" s="7">
        <v>0</v>
      </c>
      <c r="E7" s="8">
        <f t="shared" si="0"/>
        <v>100</v>
      </c>
      <c r="F7" s="6">
        <v>420</v>
      </c>
      <c r="G7" s="14">
        <f>SUM($C$4:C7)</f>
        <v>406</v>
      </c>
      <c r="H7" s="14">
        <f t="shared" si="1"/>
        <v>14</v>
      </c>
      <c r="I7" s="15">
        <f t="shared" si="2"/>
        <v>3.4482758620689724E-2</v>
      </c>
      <c r="J7" s="14">
        <f>AVERAGE($E$4:E7)</f>
        <v>99.25</v>
      </c>
      <c r="K7" s="11"/>
    </row>
    <row r="8" spans="1:11" ht="18" customHeight="1" x14ac:dyDescent="0.25">
      <c r="A8" s="4">
        <v>5</v>
      </c>
      <c r="B8" s="5">
        <v>46206</v>
      </c>
      <c r="C8" s="6">
        <v>100</v>
      </c>
      <c r="D8" s="7">
        <v>0</v>
      </c>
      <c r="E8" s="8">
        <f t="shared" si="0"/>
        <v>100</v>
      </c>
      <c r="F8" s="6">
        <v>525</v>
      </c>
      <c r="G8" s="9">
        <f>SUM($C$4:C8)</f>
        <v>506</v>
      </c>
      <c r="H8" s="9">
        <f t="shared" si="1"/>
        <v>19</v>
      </c>
      <c r="I8" s="10">
        <f t="shared" si="2"/>
        <v>3.7549407114624511E-2</v>
      </c>
      <c r="J8" s="9">
        <f>AVERAGE($E$4:E8)</f>
        <v>99.4</v>
      </c>
      <c r="K8" s="11"/>
    </row>
    <row r="9" spans="1:11" ht="18" customHeight="1" x14ac:dyDescent="0.25">
      <c r="A9" s="12">
        <v>6</v>
      </c>
      <c r="B9" s="5">
        <v>46236</v>
      </c>
      <c r="C9" s="6">
        <v>200</v>
      </c>
      <c r="D9" s="7">
        <v>0</v>
      </c>
      <c r="E9" s="8">
        <f t="shared" si="0"/>
        <v>200</v>
      </c>
      <c r="F9" s="6">
        <v>730</v>
      </c>
      <c r="G9" s="14">
        <f>SUM($C$4:C9)</f>
        <v>706</v>
      </c>
      <c r="H9" s="14">
        <f t="shared" si="1"/>
        <v>24</v>
      </c>
      <c r="I9" s="15">
        <f t="shared" si="2"/>
        <v>3.3994334277620331E-2</v>
      </c>
      <c r="J9" s="14">
        <f>AVERAGE($E$4:E9)</f>
        <v>116.16666666666667</v>
      </c>
      <c r="K9" s="11"/>
    </row>
    <row r="10" spans="1:11" ht="18" customHeight="1" x14ac:dyDescent="0.25">
      <c r="A10" s="4">
        <v>7</v>
      </c>
      <c r="B10" s="13"/>
      <c r="C10" s="6"/>
      <c r="D10" s="7">
        <v>0</v>
      </c>
      <c r="E10" s="8">
        <f t="shared" si="0"/>
        <v>0</v>
      </c>
      <c r="F10" s="6"/>
      <c r="G10" s="9">
        <f>SUM($C$4:C10)</f>
        <v>706</v>
      </c>
      <c r="H10" s="9" t="str">
        <f t="shared" si="1"/>
        <v/>
      </c>
      <c r="I10" s="10" t="str">
        <f t="shared" si="2"/>
        <v/>
      </c>
      <c r="J10" s="9">
        <f>AVERAGE($E$4:E10)</f>
        <v>99.571428571428569</v>
      </c>
      <c r="K10" s="11"/>
    </row>
    <row r="11" spans="1:11" ht="18" customHeight="1" x14ac:dyDescent="0.25">
      <c r="A11" s="12">
        <v>8</v>
      </c>
      <c r="B11" s="13"/>
      <c r="C11" s="6"/>
      <c r="D11" s="7">
        <v>0</v>
      </c>
      <c r="E11" s="8">
        <f t="shared" si="0"/>
        <v>0</v>
      </c>
      <c r="F11" s="6"/>
      <c r="G11" s="14">
        <f>SUM($C$4:C11)</f>
        <v>706</v>
      </c>
      <c r="H11" s="14" t="str">
        <f t="shared" si="1"/>
        <v/>
      </c>
      <c r="I11" s="15" t="str">
        <f t="shared" si="2"/>
        <v/>
      </c>
      <c r="J11" s="14">
        <f>AVERAGE($E$4:E11)</f>
        <v>87.125</v>
      </c>
      <c r="K11" s="11"/>
    </row>
    <row r="12" spans="1:11" ht="18" customHeight="1" x14ac:dyDescent="0.25">
      <c r="A12" s="4">
        <v>9</v>
      </c>
      <c r="B12" s="13"/>
      <c r="C12" s="6"/>
      <c r="D12" s="7">
        <v>0</v>
      </c>
      <c r="E12" s="8">
        <f t="shared" si="0"/>
        <v>0</v>
      </c>
      <c r="F12" s="6"/>
      <c r="G12" s="9">
        <f>SUM($C$4:C12)</f>
        <v>706</v>
      </c>
      <c r="H12" s="9" t="str">
        <f t="shared" si="1"/>
        <v/>
      </c>
      <c r="I12" s="10" t="str">
        <f t="shared" si="2"/>
        <v/>
      </c>
      <c r="J12" s="9">
        <f>AVERAGE($E$4:E12)</f>
        <v>77.444444444444443</v>
      </c>
      <c r="K12" s="11"/>
    </row>
    <row r="13" spans="1:11" ht="18" customHeight="1" x14ac:dyDescent="0.25">
      <c r="A13" s="12">
        <v>10</v>
      </c>
      <c r="B13" s="13"/>
      <c r="C13" s="6"/>
      <c r="D13" s="7">
        <v>0</v>
      </c>
      <c r="E13" s="8">
        <f t="shared" si="0"/>
        <v>0</v>
      </c>
      <c r="F13" s="6"/>
      <c r="G13" s="14">
        <f>SUM($C$4:C13)</f>
        <v>706</v>
      </c>
      <c r="H13" s="14" t="str">
        <f t="shared" si="1"/>
        <v/>
      </c>
      <c r="I13" s="15" t="str">
        <f t="shared" si="2"/>
        <v/>
      </c>
      <c r="J13" s="14">
        <f>AVERAGE($E$4:E13)</f>
        <v>69.7</v>
      </c>
      <c r="K13" s="11"/>
    </row>
    <row r="14" spans="1:11" ht="18" customHeight="1" x14ac:dyDescent="0.25">
      <c r="A14" s="4">
        <v>11</v>
      </c>
      <c r="B14" s="13"/>
      <c r="C14" s="6"/>
      <c r="D14" s="7">
        <v>0</v>
      </c>
      <c r="E14" s="8">
        <f t="shared" si="0"/>
        <v>0</v>
      </c>
      <c r="F14" s="6"/>
      <c r="G14" s="9">
        <f>SUM($C$4:C14)</f>
        <v>706</v>
      </c>
      <c r="H14" s="9" t="str">
        <f t="shared" si="1"/>
        <v/>
      </c>
      <c r="I14" s="10" t="str">
        <f t="shared" si="2"/>
        <v/>
      </c>
      <c r="J14" s="9">
        <f>AVERAGE($E$4:E14)</f>
        <v>63.363636363636367</v>
      </c>
      <c r="K14" s="11"/>
    </row>
    <row r="15" spans="1:11" ht="18" customHeight="1" x14ac:dyDescent="0.25">
      <c r="A15" s="43">
        <v>12</v>
      </c>
      <c r="B15" s="44"/>
      <c r="C15" s="45"/>
      <c r="D15" s="46">
        <v>0</v>
      </c>
      <c r="E15" s="47">
        <f t="shared" si="0"/>
        <v>0</v>
      </c>
      <c r="F15" s="45"/>
      <c r="G15" s="48">
        <f>SUM($C$4:C15)</f>
        <v>706</v>
      </c>
      <c r="H15" s="48" t="str">
        <f t="shared" si="1"/>
        <v/>
      </c>
      <c r="I15" s="49" t="str">
        <f t="shared" si="2"/>
        <v/>
      </c>
      <c r="J15" s="48">
        <f>AVERAGE($E$4:E15)</f>
        <v>58.083333333333336</v>
      </c>
      <c r="K15" s="50"/>
    </row>
    <row r="16" spans="1:11" ht="18" customHeight="1" x14ac:dyDescent="0.25">
      <c r="A16" s="4">
        <v>13</v>
      </c>
      <c r="B16" s="13"/>
      <c r="C16" s="6"/>
      <c r="D16" s="7">
        <v>0</v>
      </c>
      <c r="E16" s="8">
        <f t="shared" si="0"/>
        <v>0</v>
      </c>
      <c r="F16" s="6"/>
      <c r="G16" s="9">
        <f>SUM($C$4:C16)</f>
        <v>706</v>
      </c>
      <c r="H16" s="9" t="str">
        <f t="shared" si="1"/>
        <v/>
      </c>
      <c r="I16" s="10" t="str">
        <f t="shared" si="2"/>
        <v/>
      </c>
      <c r="J16" s="9">
        <f>AVERAGE($E$4:E16)</f>
        <v>53.615384615384613</v>
      </c>
      <c r="K16" s="11"/>
    </row>
    <row r="17" spans="1:11" ht="18" customHeight="1" x14ac:dyDescent="0.25">
      <c r="A17" s="12">
        <v>14</v>
      </c>
      <c r="B17" s="13"/>
      <c r="C17" s="6"/>
      <c r="D17" s="7">
        <v>0</v>
      </c>
      <c r="E17" s="8">
        <f t="shared" si="0"/>
        <v>0</v>
      </c>
      <c r="F17" s="6"/>
      <c r="G17" s="14">
        <f>SUM($C$4:C17)</f>
        <v>706</v>
      </c>
      <c r="H17" s="14" t="str">
        <f t="shared" si="1"/>
        <v/>
      </c>
      <c r="I17" s="15" t="str">
        <f t="shared" si="2"/>
        <v/>
      </c>
      <c r="J17" s="14">
        <f>AVERAGE($E$4:E17)</f>
        <v>49.785714285714285</v>
      </c>
      <c r="K17" s="11"/>
    </row>
    <row r="18" spans="1:11" ht="18" customHeight="1" x14ac:dyDescent="0.25">
      <c r="A18" s="4">
        <v>15</v>
      </c>
      <c r="B18" s="13"/>
      <c r="C18" s="6"/>
      <c r="D18" s="7">
        <v>0</v>
      </c>
      <c r="E18" s="8">
        <f t="shared" si="0"/>
        <v>0</v>
      </c>
      <c r="F18" s="6"/>
      <c r="G18" s="9">
        <f>SUM($C$4:C18)</f>
        <v>706</v>
      </c>
      <c r="H18" s="9" t="str">
        <f t="shared" si="1"/>
        <v/>
      </c>
      <c r="I18" s="10" t="str">
        <f t="shared" si="2"/>
        <v/>
      </c>
      <c r="J18" s="9">
        <f>AVERAGE($E$4:E18)</f>
        <v>46.466666666666669</v>
      </c>
      <c r="K18" s="11"/>
    </row>
    <row r="19" spans="1:11" ht="18" customHeight="1" x14ac:dyDescent="0.25">
      <c r="A19" s="12">
        <v>16</v>
      </c>
      <c r="B19" s="13"/>
      <c r="C19" s="6"/>
      <c r="D19" s="7">
        <v>0</v>
      </c>
      <c r="E19" s="8">
        <f t="shared" si="0"/>
        <v>0</v>
      </c>
      <c r="F19" s="6"/>
      <c r="G19" s="14">
        <f>SUM($C$4:C19)</f>
        <v>706</v>
      </c>
      <c r="H19" s="14" t="str">
        <f t="shared" si="1"/>
        <v/>
      </c>
      <c r="I19" s="15" t="str">
        <f t="shared" si="2"/>
        <v/>
      </c>
      <c r="J19" s="14">
        <f>AVERAGE($E$4:E19)</f>
        <v>43.5625</v>
      </c>
      <c r="K19" s="11"/>
    </row>
    <row r="20" spans="1:11" ht="18" customHeight="1" x14ac:dyDescent="0.25">
      <c r="A20" s="4">
        <v>17</v>
      </c>
      <c r="B20" s="13"/>
      <c r="C20" s="6"/>
      <c r="D20" s="7">
        <v>0</v>
      </c>
      <c r="E20" s="8">
        <f t="shared" si="0"/>
        <v>0</v>
      </c>
      <c r="F20" s="6"/>
      <c r="G20" s="9">
        <f>SUM($C$4:C20)</f>
        <v>706</v>
      </c>
      <c r="H20" s="9" t="str">
        <f t="shared" si="1"/>
        <v/>
      </c>
      <c r="I20" s="10" t="str">
        <f t="shared" si="2"/>
        <v/>
      </c>
      <c r="J20" s="9">
        <f>AVERAGE($E$4:E20)</f>
        <v>41</v>
      </c>
      <c r="K20" s="11"/>
    </row>
    <row r="21" spans="1:11" ht="18" customHeight="1" x14ac:dyDescent="0.25">
      <c r="A21" s="12">
        <v>18</v>
      </c>
      <c r="B21" s="13"/>
      <c r="C21" s="6"/>
      <c r="D21" s="7">
        <v>0</v>
      </c>
      <c r="E21" s="8">
        <f t="shared" si="0"/>
        <v>0</v>
      </c>
      <c r="F21" s="6"/>
      <c r="G21" s="14">
        <f>SUM($C$4:C21)</f>
        <v>706</v>
      </c>
      <c r="H21" s="14" t="str">
        <f t="shared" si="1"/>
        <v/>
      </c>
      <c r="I21" s="15" t="str">
        <f t="shared" si="2"/>
        <v/>
      </c>
      <c r="J21" s="14">
        <f>AVERAGE($E$4:E21)</f>
        <v>38.722222222222221</v>
      </c>
      <c r="K21" s="11"/>
    </row>
    <row r="22" spans="1:11" ht="18" customHeight="1" x14ac:dyDescent="0.25">
      <c r="A22" s="4">
        <v>19</v>
      </c>
      <c r="B22" s="13"/>
      <c r="C22" s="6"/>
      <c r="D22" s="7">
        <v>0</v>
      </c>
      <c r="E22" s="8">
        <f t="shared" si="0"/>
        <v>0</v>
      </c>
      <c r="F22" s="6"/>
      <c r="G22" s="9">
        <f>SUM($C$4:C22)</f>
        <v>706</v>
      </c>
      <c r="H22" s="9" t="str">
        <f t="shared" si="1"/>
        <v/>
      </c>
      <c r="I22" s="10" t="str">
        <f t="shared" si="2"/>
        <v/>
      </c>
      <c r="J22" s="9">
        <f>AVERAGE($E$4:E22)</f>
        <v>36.684210526315788</v>
      </c>
      <c r="K22" s="11"/>
    </row>
    <row r="23" spans="1:11" ht="18" customHeight="1" x14ac:dyDescent="0.25">
      <c r="A23" s="12">
        <v>20</v>
      </c>
      <c r="B23" s="13"/>
      <c r="C23" s="6"/>
      <c r="D23" s="7">
        <v>0</v>
      </c>
      <c r="E23" s="8">
        <f t="shared" si="0"/>
        <v>0</v>
      </c>
      <c r="F23" s="6"/>
      <c r="G23" s="14">
        <f>SUM($C$4:C23)</f>
        <v>706</v>
      </c>
      <c r="H23" s="14" t="str">
        <f t="shared" si="1"/>
        <v/>
      </c>
      <c r="I23" s="15" t="str">
        <f t="shared" si="2"/>
        <v/>
      </c>
      <c r="J23" s="14">
        <f>AVERAGE($E$4:E23)</f>
        <v>34.85</v>
      </c>
      <c r="K23" s="11"/>
    </row>
    <row r="24" spans="1:11" ht="18" customHeight="1" x14ac:dyDescent="0.25">
      <c r="A24" s="4">
        <v>21</v>
      </c>
      <c r="B24" s="13"/>
      <c r="C24" s="6"/>
      <c r="D24" s="7">
        <v>0</v>
      </c>
      <c r="E24" s="8">
        <f t="shared" si="0"/>
        <v>0</v>
      </c>
      <c r="F24" s="6"/>
      <c r="G24" s="9">
        <f>SUM($C$4:C24)</f>
        <v>706</v>
      </c>
      <c r="H24" s="9" t="str">
        <f t="shared" si="1"/>
        <v/>
      </c>
      <c r="I24" s="10" t="str">
        <f t="shared" si="2"/>
        <v/>
      </c>
      <c r="J24" s="9">
        <f>AVERAGE($E$4:E24)</f>
        <v>33.19047619047619</v>
      </c>
      <c r="K24" s="11"/>
    </row>
    <row r="25" spans="1:11" ht="18" customHeight="1" x14ac:dyDescent="0.25">
      <c r="A25" s="12">
        <v>22</v>
      </c>
      <c r="B25" s="13"/>
      <c r="C25" s="6"/>
      <c r="D25" s="7">
        <v>0</v>
      </c>
      <c r="E25" s="8">
        <f t="shared" si="0"/>
        <v>0</v>
      </c>
      <c r="F25" s="6"/>
      <c r="G25" s="14">
        <f>SUM($C$4:C25)</f>
        <v>706</v>
      </c>
      <c r="H25" s="14" t="str">
        <f t="shared" si="1"/>
        <v/>
      </c>
      <c r="I25" s="15" t="str">
        <f t="shared" si="2"/>
        <v/>
      </c>
      <c r="J25" s="14">
        <f>AVERAGE($E$4:E25)</f>
        <v>31.681818181818183</v>
      </c>
      <c r="K25" s="11"/>
    </row>
    <row r="26" spans="1:11" ht="18" customHeight="1" x14ac:dyDescent="0.25">
      <c r="A26" s="4">
        <v>23</v>
      </c>
      <c r="B26" s="13"/>
      <c r="C26" s="6"/>
      <c r="D26" s="7">
        <v>0</v>
      </c>
      <c r="E26" s="8">
        <f t="shared" si="0"/>
        <v>0</v>
      </c>
      <c r="F26" s="6"/>
      <c r="G26" s="9">
        <f>SUM($C$4:C26)</f>
        <v>706</v>
      </c>
      <c r="H26" s="9" t="str">
        <f t="shared" si="1"/>
        <v/>
      </c>
      <c r="I26" s="10" t="str">
        <f t="shared" si="2"/>
        <v/>
      </c>
      <c r="J26" s="9">
        <f>AVERAGE($E$4:E26)</f>
        <v>30.304347826086957</v>
      </c>
      <c r="K26" s="11"/>
    </row>
    <row r="27" spans="1:11" ht="18" customHeight="1" x14ac:dyDescent="0.25">
      <c r="A27" s="12">
        <v>24</v>
      </c>
      <c r="B27" s="13"/>
      <c r="C27" s="6"/>
      <c r="D27" s="7">
        <v>0</v>
      </c>
      <c r="E27" s="8">
        <f t="shared" si="0"/>
        <v>0</v>
      </c>
      <c r="F27" s="6"/>
      <c r="G27" s="14">
        <f>SUM($C$4:C27)</f>
        <v>706</v>
      </c>
      <c r="H27" s="14" t="str">
        <f t="shared" si="1"/>
        <v/>
      </c>
      <c r="I27" s="15" t="str">
        <f t="shared" si="2"/>
        <v/>
      </c>
      <c r="J27" s="14">
        <f>AVERAGE($E$4:E27)</f>
        <v>29.041666666666668</v>
      </c>
      <c r="K27" s="11"/>
    </row>
    <row r="28" spans="1:11" ht="18" customHeight="1" x14ac:dyDescent="0.25">
      <c r="A28" s="4">
        <v>25</v>
      </c>
      <c r="B28" s="13"/>
      <c r="C28" s="6"/>
      <c r="D28" s="7">
        <v>0</v>
      </c>
      <c r="E28" s="8">
        <f t="shared" si="0"/>
        <v>0</v>
      </c>
      <c r="F28" s="6"/>
      <c r="G28" s="9">
        <f>SUM($C$4:C28)</f>
        <v>706</v>
      </c>
      <c r="H28" s="9" t="str">
        <f t="shared" si="1"/>
        <v/>
      </c>
      <c r="I28" s="10" t="str">
        <f t="shared" si="2"/>
        <v/>
      </c>
      <c r="J28" s="9">
        <f>AVERAGE($E$4:E28)</f>
        <v>27.88</v>
      </c>
      <c r="K28" s="11"/>
    </row>
    <row r="29" spans="1:11" ht="18" customHeight="1" x14ac:dyDescent="0.25">
      <c r="A29" s="12">
        <v>26</v>
      </c>
      <c r="B29" s="13"/>
      <c r="C29" s="6"/>
      <c r="D29" s="7">
        <v>0</v>
      </c>
      <c r="E29" s="8">
        <f t="shared" si="0"/>
        <v>0</v>
      </c>
      <c r="F29" s="6"/>
      <c r="G29" s="14">
        <f>SUM($C$4:C29)</f>
        <v>706</v>
      </c>
      <c r="H29" s="14" t="str">
        <f t="shared" si="1"/>
        <v/>
      </c>
      <c r="I29" s="15" t="str">
        <f t="shared" si="2"/>
        <v/>
      </c>
      <c r="J29" s="14">
        <f>AVERAGE($E$4:E29)</f>
        <v>26.807692307692307</v>
      </c>
      <c r="K29" s="11"/>
    </row>
    <row r="30" spans="1:11" ht="18" customHeight="1" x14ac:dyDescent="0.25">
      <c r="A30" s="4">
        <v>27</v>
      </c>
      <c r="B30" s="13"/>
      <c r="C30" s="6"/>
      <c r="D30" s="7">
        <v>0</v>
      </c>
      <c r="E30" s="8">
        <f t="shared" si="0"/>
        <v>0</v>
      </c>
      <c r="F30" s="6"/>
      <c r="G30" s="9">
        <f>SUM($C$4:C30)</f>
        <v>706</v>
      </c>
      <c r="H30" s="9" t="str">
        <f t="shared" si="1"/>
        <v/>
      </c>
      <c r="I30" s="10" t="str">
        <f t="shared" si="2"/>
        <v/>
      </c>
      <c r="J30" s="9">
        <f>AVERAGE($E$4:E30)</f>
        <v>25.814814814814813</v>
      </c>
      <c r="K30" s="11"/>
    </row>
    <row r="31" spans="1:11" ht="18" customHeight="1" x14ac:dyDescent="0.25">
      <c r="A31" s="12">
        <v>28</v>
      </c>
      <c r="B31" s="13"/>
      <c r="C31" s="6"/>
      <c r="D31" s="7">
        <v>0</v>
      </c>
      <c r="E31" s="8">
        <f t="shared" si="0"/>
        <v>0</v>
      </c>
      <c r="F31" s="6"/>
      <c r="G31" s="14">
        <f>SUM($C$4:C31)</f>
        <v>706</v>
      </c>
      <c r="H31" s="14" t="str">
        <f t="shared" si="1"/>
        <v/>
      </c>
      <c r="I31" s="15" t="str">
        <f t="shared" si="2"/>
        <v/>
      </c>
      <c r="J31" s="14">
        <f>AVERAGE($E$4:E31)</f>
        <v>24.892857142857142</v>
      </c>
      <c r="K31" s="11"/>
    </row>
    <row r="32" spans="1:11" ht="18" customHeight="1" x14ac:dyDescent="0.25">
      <c r="A32" s="4">
        <v>29</v>
      </c>
      <c r="B32" s="13"/>
      <c r="C32" s="6"/>
      <c r="D32" s="7">
        <v>0</v>
      </c>
      <c r="E32" s="8">
        <f t="shared" si="0"/>
        <v>0</v>
      </c>
      <c r="F32" s="6"/>
      <c r="G32" s="9">
        <f>SUM($C$4:C32)</f>
        <v>706</v>
      </c>
      <c r="H32" s="9" t="str">
        <f t="shared" si="1"/>
        <v/>
      </c>
      <c r="I32" s="10" t="str">
        <f t="shared" si="2"/>
        <v/>
      </c>
      <c r="J32" s="9">
        <f>AVERAGE($E$4:E32)</f>
        <v>24.03448275862069</v>
      </c>
      <c r="K32" s="11"/>
    </row>
    <row r="33" spans="1:11" ht="18" customHeight="1" x14ac:dyDescent="0.25">
      <c r="A33" s="12">
        <v>30</v>
      </c>
      <c r="B33" s="13"/>
      <c r="C33" s="6"/>
      <c r="D33" s="7">
        <v>0</v>
      </c>
      <c r="E33" s="8">
        <f t="shared" si="0"/>
        <v>0</v>
      </c>
      <c r="F33" s="6"/>
      <c r="G33" s="14">
        <f>SUM($C$4:C33)</f>
        <v>706</v>
      </c>
      <c r="H33" s="14" t="str">
        <f t="shared" si="1"/>
        <v/>
      </c>
      <c r="I33" s="15" t="str">
        <f t="shared" si="2"/>
        <v/>
      </c>
      <c r="J33" s="14">
        <f>AVERAGE($E$4:E33)</f>
        <v>23.233333333333334</v>
      </c>
      <c r="K33" s="11"/>
    </row>
    <row r="34" spans="1:11" ht="18" customHeight="1" x14ac:dyDescent="0.25">
      <c r="A34" s="4">
        <v>31</v>
      </c>
      <c r="B34" s="13"/>
      <c r="C34" s="6"/>
      <c r="D34" s="7">
        <v>0</v>
      </c>
      <c r="E34" s="8">
        <f t="shared" si="0"/>
        <v>0</v>
      </c>
      <c r="F34" s="6"/>
      <c r="G34" s="9">
        <f>SUM($C$4:C34)</f>
        <v>706</v>
      </c>
      <c r="H34" s="9" t="str">
        <f t="shared" si="1"/>
        <v/>
      </c>
      <c r="I34" s="10" t="str">
        <f t="shared" si="2"/>
        <v/>
      </c>
      <c r="J34" s="9">
        <f>AVERAGE($E$4:E34)</f>
        <v>22.483870967741936</v>
      </c>
      <c r="K34" s="11"/>
    </row>
    <row r="35" spans="1:11" ht="18" customHeight="1" x14ac:dyDescent="0.25">
      <c r="A35" s="12">
        <v>32</v>
      </c>
      <c r="B35" s="13"/>
      <c r="C35" s="6"/>
      <c r="D35" s="7">
        <v>0</v>
      </c>
      <c r="E35" s="8">
        <f t="shared" si="0"/>
        <v>0</v>
      </c>
      <c r="F35" s="6"/>
      <c r="G35" s="14">
        <f>SUM($C$4:C35)</f>
        <v>706</v>
      </c>
      <c r="H35" s="14" t="str">
        <f t="shared" si="1"/>
        <v/>
      </c>
      <c r="I35" s="15" t="str">
        <f t="shared" si="2"/>
        <v/>
      </c>
      <c r="J35" s="14">
        <f>AVERAGE($E$4:E35)</f>
        <v>21.78125</v>
      </c>
      <c r="K35" s="11"/>
    </row>
    <row r="36" spans="1:11" ht="18" customHeight="1" x14ac:dyDescent="0.25">
      <c r="A36" s="4">
        <v>33</v>
      </c>
      <c r="B36" s="13"/>
      <c r="C36" s="6"/>
      <c r="D36" s="7">
        <v>0</v>
      </c>
      <c r="E36" s="8">
        <f t="shared" ref="E36:E63" si="3">C36-D36</f>
        <v>0</v>
      </c>
      <c r="F36" s="6"/>
      <c r="G36" s="9">
        <f>SUM($C$4:C36)</f>
        <v>706</v>
      </c>
      <c r="H36" s="9" t="str">
        <f t="shared" ref="H36:H63" si="4">IF(F36="","",F36-G36)</f>
        <v/>
      </c>
      <c r="I36" s="10" t="str">
        <f t="shared" ref="I36:I63" si="5">IF(OR(F36="",G36=0),"",F36/G36-1)</f>
        <v/>
      </c>
      <c r="J36" s="9">
        <f>AVERAGE($E$4:E36)</f>
        <v>21.121212121212121</v>
      </c>
      <c r="K36" s="11"/>
    </row>
    <row r="37" spans="1:11" ht="18" customHeight="1" x14ac:dyDescent="0.25">
      <c r="A37" s="12">
        <v>34</v>
      </c>
      <c r="B37" s="13"/>
      <c r="C37" s="6"/>
      <c r="D37" s="7">
        <v>0</v>
      </c>
      <c r="E37" s="8">
        <f t="shared" si="3"/>
        <v>0</v>
      </c>
      <c r="F37" s="6"/>
      <c r="G37" s="14">
        <f>SUM($C$4:C37)</f>
        <v>706</v>
      </c>
      <c r="H37" s="14" t="str">
        <f t="shared" si="4"/>
        <v/>
      </c>
      <c r="I37" s="15" t="str">
        <f t="shared" si="5"/>
        <v/>
      </c>
      <c r="J37" s="14">
        <f>AVERAGE($E$4:E37)</f>
        <v>20.5</v>
      </c>
      <c r="K37" s="11"/>
    </row>
    <row r="38" spans="1:11" ht="18" customHeight="1" x14ac:dyDescent="0.25">
      <c r="A38" s="4">
        <v>35</v>
      </c>
      <c r="B38" s="13"/>
      <c r="C38" s="6"/>
      <c r="D38" s="7">
        <v>0</v>
      </c>
      <c r="E38" s="8">
        <f t="shared" si="3"/>
        <v>0</v>
      </c>
      <c r="F38" s="6"/>
      <c r="G38" s="9">
        <f>SUM($C$4:C38)</f>
        <v>706</v>
      </c>
      <c r="H38" s="9" t="str">
        <f t="shared" si="4"/>
        <v/>
      </c>
      <c r="I38" s="10" t="str">
        <f t="shared" si="5"/>
        <v/>
      </c>
      <c r="J38" s="9">
        <f>AVERAGE($E$4:E38)</f>
        <v>19.914285714285715</v>
      </c>
      <c r="K38" s="11"/>
    </row>
    <row r="39" spans="1:11" ht="18" customHeight="1" x14ac:dyDescent="0.25">
      <c r="A39" s="12">
        <v>36</v>
      </c>
      <c r="B39" s="13"/>
      <c r="C39" s="6"/>
      <c r="D39" s="7">
        <v>0</v>
      </c>
      <c r="E39" s="8">
        <f t="shared" si="3"/>
        <v>0</v>
      </c>
      <c r="F39" s="6"/>
      <c r="G39" s="14">
        <f>SUM($C$4:C39)</f>
        <v>706</v>
      </c>
      <c r="H39" s="14" t="str">
        <f t="shared" si="4"/>
        <v/>
      </c>
      <c r="I39" s="15" t="str">
        <f t="shared" si="5"/>
        <v/>
      </c>
      <c r="J39" s="14">
        <f>AVERAGE($E$4:E39)</f>
        <v>19.361111111111111</v>
      </c>
      <c r="K39" s="11"/>
    </row>
    <row r="40" spans="1:11" ht="18" customHeight="1" x14ac:dyDescent="0.25">
      <c r="A40" s="4">
        <v>37</v>
      </c>
      <c r="B40" s="13"/>
      <c r="C40" s="6"/>
      <c r="D40" s="7">
        <v>0</v>
      </c>
      <c r="E40" s="8">
        <f t="shared" si="3"/>
        <v>0</v>
      </c>
      <c r="F40" s="6"/>
      <c r="G40" s="9">
        <f>SUM($C$4:C40)</f>
        <v>706</v>
      </c>
      <c r="H40" s="9" t="str">
        <f t="shared" si="4"/>
        <v/>
      </c>
      <c r="I40" s="10" t="str">
        <f t="shared" si="5"/>
        <v/>
      </c>
      <c r="J40" s="9">
        <f>AVERAGE($E$4:E40)</f>
        <v>18.837837837837839</v>
      </c>
      <c r="K40" s="11"/>
    </row>
    <row r="41" spans="1:11" ht="18" customHeight="1" x14ac:dyDescent="0.25">
      <c r="A41" s="12">
        <v>38</v>
      </c>
      <c r="B41" s="13"/>
      <c r="C41" s="6"/>
      <c r="D41" s="7">
        <v>0</v>
      </c>
      <c r="E41" s="8">
        <f t="shared" si="3"/>
        <v>0</v>
      </c>
      <c r="F41" s="6"/>
      <c r="G41" s="14">
        <f>SUM($C$4:C41)</f>
        <v>706</v>
      </c>
      <c r="H41" s="14" t="str">
        <f t="shared" si="4"/>
        <v/>
      </c>
      <c r="I41" s="15" t="str">
        <f t="shared" si="5"/>
        <v/>
      </c>
      <c r="J41" s="14">
        <f>AVERAGE($E$4:E41)</f>
        <v>18.342105263157894</v>
      </c>
      <c r="K41" s="11"/>
    </row>
    <row r="42" spans="1:11" ht="18" customHeight="1" x14ac:dyDescent="0.25">
      <c r="A42" s="4">
        <v>39</v>
      </c>
      <c r="B42" s="13"/>
      <c r="C42" s="6"/>
      <c r="D42" s="7">
        <v>0</v>
      </c>
      <c r="E42" s="8">
        <f t="shared" si="3"/>
        <v>0</v>
      </c>
      <c r="F42" s="6"/>
      <c r="G42" s="9">
        <f>SUM($C$4:C42)</f>
        <v>706</v>
      </c>
      <c r="H42" s="9" t="str">
        <f t="shared" si="4"/>
        <v/>
      </c>
      <c r="I42" s="10" t="str">
        <f t="shared" si="5"/>
        <v/>
      </c>
      <c r="J42" s="9">
        <f>AVERAGE($E$4:E42)</f>
        <v>17.871794871794872</v>
      </c>
      <c r="K42" s="11"/>
    </row>
    <row r="43" spans="1:11" ht="18" customHeight="1" x14ac:dyDescent="0.25">
      <c r="A43" s="12">
        <v>40</v>
      </c>
      <c r="B43" s="13"/>
      <c r="C43" s="6"/>
      <c r="D43" s="7">
        <v>0</v>
      </c>
      <c r="E43" s="8">
        <f t="shared" si="3"/>
        <v>0</v>
      </c>
      <c r="F43" s="6"/>
      <c r="G43" s="14">
        <f>SUM($C$4:C43)</f>
        <v>706</v>
      </c>
      <c r="H43" s="14" t="str">
        <f t="shared" si="4"/>
        <v/>
      </c>
      <c r="I43" s="15" t="str">
        <f t="shared" si="5"/>
        <v/>
      </c>
      <c r="J43" s="14">
        <f>AVERAGE($E$4:E43)</f>
        <v>17.425000000000001</v>
      </c>
      <c r="K43" s="11"/>
    </row>
    <row r="44" spans="1:11" ht="18" customHeight="1" x14ac:dyDescent="0.25">
      <c r="A44" s="4">
        <v>41</v>
      </c>
      <c r="B44" s="13"/>
      <c r="C44" s="6"/>
      <c r="D44" s="7">
        <v>0</v>
      </c>
      <c r="E44" s="8">
        <f t="shared" si="3"/>
        <v>0</v>
      </c>
      <c r="F44" s="6"/>
      <c r="G44" s="9">
        <f>SUM($C$4:C44)</f>
        <v>706</v>
      </c>
      <c r="H44" s="9" t="str">
        <f t="shared" si="4"/>
        <v/>
      </c>
      <c r="I44" s="10" t="str">
        <f t="shared" si="5"/>
        <v/>
      </c>
      <c r="J44" s="9">
        <f>AVERAGE($E$4:E44)</f>
        <v>17</v>
      </c>
      <c r="K44" s="11"/>
    </row>
    <row r="45" spans="1:11" ht="18" customHeight="1" x14ac:dyDescent="0.25">
      <c r="A45" s="12">
        <v>42</v>
      </c>
      <c r="B45" s="13"/>
      <c r="C45" s="6"/>
      <c r="D45" s="7">
        <v>0</v>
      </c>
      <c r="E45" s="8">
        <f t="shared" si="3"/>
        <v>0</v>
      </c>
      <c r="F45" s="6"/>
      <c r="G45" s="14">
        <f>SUM($C$4:C45)</f>
        <v>706</v>
      </c>
      <c r="H45" s="14" t="str">
        <f t="shared" si="4"/>
        <v/>
      </c>
      <c r="I45" s="15" t="str">
        <f t="shared" si="5"/>
        <v/>
      </c>
      <c r="J45" s="14">
        <f>AVERAGE($E$4:E45)</f>
        <v>16.595238095238095</v>
      </c>
      <c r="K45" s="11"/>
    </row>
    <row r="46" spans="1:11" ht="18" customHeight="1" x14ac:dyDescent="0.25">
      <c r="A46" s="4">
        <v>43</v>
      </c>
      <c r="B46" s="13"/>
      <c r="C46" s="6"/>
      <c r="D46" s="7">
        <v>0</v>
      </c>
      <c r="E46" s="8">
        <f t="shared" si="3"/>
        <v>0</v>
      </c>
      <c r="F46" s="6"/>
      <c r="G46" s="9">
        <f>SUM($C$4:C46)</f>
        <v>706</v>
      </c>
      <c r="H46" s="9" t="str">
        <f t="shared" si="4"/>
        <v/>
      </c>
      <c r="I46" s="10" t="str">
        <f t="shared" si="5"/>
        <v/>
      </c>
      <c r="J46" s="9">
        <f>AVERAGE($E$4:E46)</f>
        <v>16.209302325581394</v>
      </c>
      <c r="K46" s="11"/>
    </row>
    <row r="47" spans="1:11" ht="18" customHeight="1" x14ac:dyDescent="0.25">
      <c r="A47" s="12">
        <v>44</v>
      </c>
      <c r="B47" s="13"/>
      <c r="C47" s="6"/>
      <c r="D47" s="7">
        <v>0</v>
      </c>
      <c r="E47" s="8">
        <f t="shared" si="3"/>
        <v>0</v>
      </c>
      <c r="F47" s="6"/>
      <c r="G47" s="14">
        <f>SUM($C$4:C47)</f>
        <v>706</v>
      </c>
      <c r="H47" s="14" t="str">
        <f t="shared" si="4"/>
        <v/>
      </c>
      <c r="I47" s="15" t="str">
        <f t="shared" si="5"/>
        <v/>
      </c>
      <c r="J47" s="14">
        <f>AVERAGE($E$4:E47)</f>
        <v>15.840909090909092</v>
      </c>
      <c r="K47" s="11"/>
    </row>
    <row r="48" spans="1:11" ht="18" customHeight="1" x14ac:dyDescent="0.25">
      <c r="A48" s="4">
        <v>45</v>
      </c>
      <c r="B48" s="13"/>
      <c r="C48" s="6"/>
      <c r="D48" s="7">
        <v>0</v>
      </c>
      <c r="E48" s="8">
        <f t="shared" si="3"/>
        <v>0</v>
      </c>
      <c r="F48" s="6"/>
      <c r="G48" s="9">
        <f>SUM($C$4:C48)</f>
        <v>706</v>
      </c>
      <c r="H48" s="9" t="str">
        <f t="shared" si="4"/>
        <v/>
      </c>
      <c r="I48" s="10" t="str">
        <f t="shared" si="5"/>
        <v/>
      </c>
      <c r="J48" s="9">
        <f>AVERAGE($E$4:E48)</f>
        <v>15.488888888888889</v>
      </c>
      <c r="K48" s="11"/>
    </row>
    <row r="49" spans="1:11" ht="18" customHeight="1" x14ac:dyDescent="0.25">
      <c r="A49" s="12">
        <v>46</v>
      </c>
      <c r="B49" s="13"/>
      <c r="C49" s="6"/>
      <c r="D49" s="7">
        <v>0</v>
      </c>
      <c r="E49" s="8">
        <f t="shared" si="3"/>
        <v>0</v>
      </c>
      <c r="F49" s="6"/>
      <c r="G49" s="14">
        <f>SUM($C$4:C49)</f>
        <v>706</v>
      </c>
      <c r="H49" s="14" t="str">
        <f t="shared" si="4"/>
        <v/>
      </c>
      <c r="I49" s="15" t="str">
        <f t="shared" si="5"/>
        <v/>
      </c>
      <c r="J49" s="14">
        <f>AVERAGE($E$4:E49)</f>
        <v>15.152173913043478</v>
      </c>
      <c r="K49" s="11"/>
    </row>
    <row r="50" spans="1:11" ht="18" customHeight="1" x14ac:dyDescent="0.25">
      <c r="A50" s="4">
        <v>47</v>
      </c>
      <c r="B50" s="13"/>
      <c r="C50" s="6"/>
      <c r="D50" s="7">
        <v>0</v>
      </c>
      <c r="E50" s="8">
        <f t="shared" si="3"/>
        <v>0</v>
      </c>
      <c r="F50" s="6"/>
      <c r="G50" s="9">
        <f>SUM($C$4:C50)</f>
        <v>706</v>
      </c>
      <c r="H50" s="9" t="str">
        <f t="shared" si="4"/>
        <v/>
      </c>
      <c r="I50" s="10" t="str">
        <f t="shared" si="5"/>
        <v/>
      </c>
      <c r="J50" s="9">
        <f>AVERAGE($E$4:E50)</f>
        <v>14.829787234042554</v>
      </c>
      <c r="K50" s="11"/>
    </row>
    <row r="51" spans="1:11" ht="18" customHeight="1" x14ac:dyDescent="0.25">
      <c r="A51" s="12">
        <v>48</v>
      </c>
      <c r="B51" s="13"/>
      <c r="C51" s="6"/>
      <c r="D51" s="7">
        <v>0</v>
      </c>
      <c r="E51" s="8">
        <f t="shared" si="3"/>
        <v>0</v>
      </c>
      <c r="F51" s="6"/>
      <c r="G51" s="14">
        <f>SUM($C$4:C51)</f>
        <v>706</v>
      </c>
      <c r="H51" s="14" t="str">
        <f t="shared" si="4"/>
        <v/>
      </c>
      <c r="I51" s="15" t="str">
        <f t="shared" si="5"/>
        <v/>
      </c>
      <c r="J51" s="14">
        <f>AVERAGE($E$4:E51)</f>
        <v>14.520833333333334</v>
      </c>
      <c r="K51" s="11"/>
    </row>
    <row r="52" spans="1:11" ht="18" customHeight="1" x14ac:dyDescent="0.25">
      <c r="A52" s="4">
        <v>49</v>
      </c>
      <c r="B52" s="13"/>
      <c r="C52" s="6"/>
      <c r="D52" s="7">
        <v>0</v>
      </c>
      <c r="E52" s="8">
        <f t="shared" si="3"/>
        <v>0</v>
      </c>
      <c r="F52" s="6"/>
      <c r="G52" s="9">
        <f>SUM($C$4:C52)</f>
        <v>706</v>
      </c>
      <c r="H52" s="9" t="str">
        <f t="shared" si="4"/>
        <v/>
      </c>
      <c r="I52" s="10" t="str">
        <f t="shared" si="5"/>
        <v/>
      </c>
      <c r="J52" s="9">
        <f>AVERAGE($E$4:E52)</f>
        <v>14.224489795918368</v>
      </c>
      <c r="K52" s="11"/>
    </row>
    <row r="53" spans="1:11" ht="18" customHeight="1" x14ac:dyDescent="0.25">
      <c r="A53" s="12">
        <v>50</v>
      </c>
      <c r="B53" s="13"/>
      <c r="C53" s="6"/>
      <c r="D53" s="7">
        <v>0</v>
      </c>
      <c r="E53" s="8">
        <f t="shared" si="3"/>
        <v>0</v>
      </c>
      <c r="F53" s="6"/>
      <c r="G53" s="14">
        <f>SUM($C$4:C53)</f>
        <v>706</v>
      </c>
      <c r="H53" s="14" t="str">
        <f t="shared" si="4"/>
        <v/>
      </c>
      <c r="I53" s="15" t="str">
        <f t="shared" si="5"/>
        <v/>
      </c>
      <c r="J53" s="14">
        <f>AVERAGE($E$4:E53)</f>
        <v>13.94</v>
      </c>
      <c r="K53" s="11"/>
    </row>
    <row r="54" spans="1:11" ht="18" customHeight="1" x14ac:dyDescent="0.25">
      <c r="A54" s="4">
        <v>51</v>
      </c>
      <c r="B54" s="13"/>
      <c r="C54" s="6"/>
      <c r="D54" s="7">
        <v>0</v>
      </c>
      <c r="E54" s="8">
        <f t="shared" si="3"/>
        <v>0</v>
      </c>
      <c r="F54" s="6"/>
      <c r="G54" s="9">
        <f>SUM($C$4:C54)</f>
        <v>706</v>
      </c>
      <c r="H54" s="9" t="str">
        <f t="shared" si="4"/>
        <v/>
      </c>
      <c r="I54" s="10" t="str">
        <f t="shared" si="5"/>
        <v/>
      </c>
      <c r="J54" s="9">
        <f>AVERAGE($E$4:E54)</f>
        <v>13.666666666666666</v>
      </c>
      <c r="K54" s="11"/>
    </row>
    <row r="55" spans="1:11" ht="18" customHeight="1" x14ac:dyDescent="0.25">
      <c r="A55" s="12">
        <v>52</v>
      </c>
      <c r="B55" s="13"/>
      <c r="C55" s="6"/>
      <c r="D55" s="7">
        <v>0</v>
      </c>
      <c r="E55" s="8">
        <f t="shared" si="3"/>
        <v>0</v>
      </c>
      <c r="F55" s="6"/>
      <c r="G55" s="14">
        <f>SUM($C$4:C55)</f>
        <v>706</v>
      </c>
      <c r="H55" s="14" t="str">
        <f t="shared" si="4"/>
        <v/>
      </c>
      <c r="I55" s="15" t="str">
        <f t="shared" si="5"/>
        <v/>
      </c>
      <c r="J55" s="14">
        <f>AVERAGE($E$4:E55)</f>
        <v>13.403846153846153</v>
      </c>
      <c r="K55" s="11"/>
    </row>
    <row r="56" spans="1:11" ht="18" customHeight="1" x14ac:dyDescent="0.25">
      <c r="A56" s="4">
        <v>53</v>
      </c>
      <c r="B56" s="13"/>
      <c r="C56" s="6"/>
      <c r="D56" s="7">
        <v>0</v>
      </c>
      <c r="E56" s="8">
        <f t="shared" si="3"/>
        <v>0</v>
      </c>
      <c r="F56" s="6"/>
      <c r="G56" s="9">
        <f>SUM($C$4:C56)</f>
        <v>706</v>
      </c>
      <c r="H56" s="9" t="str">
        <f t="shared" si="4"/>
        <v/>
      </c>
      <c r="I56" s="10" t="str">
        <f t="shared" si="5"/>
        <v/>
      </c>
      <c r="J56" s="9">
        <f>AVERAGE($E$4:E56)</f>
        <v>13.150943396226415</v>
      </c>
      <c r="K56" s="11"/>
    </row>
    <row r="57" spans="1:11" ht="18" customHeight="1" x14ac:dyDescent="0.25">
      <c r="A57" s="12">
        <v>54</v>
      </c>
      <c r="B57" s="13"/>
      <c r="C57" s="6"/>
      <c r="D57" s="7">
        <v>0</v>
      </c>
      <c r="E57" s="8">
        <f t="shared" si="3"/>
        <v>0</v>
      </c>
      <c r="F57" s="6"/>
      <c r="G57" s="14">
        <f>SUM($C$4:C57)</f>
        <v>706</v>
      </c>
      <c r="H57" s="14" t="str">
        <f t="shared" si="4"/>
        <v/>
      </c>
      <c r="I57" s="15" t="str">
        <f t="shared" si="5"/>
        <v/>
      </c>
      <c r="J57" s="14">
        <f>AVERAGE($E$4:E57)</f>
        <v>12.907407407407407</v>
      </c>
      <c r="K57" s="11"/>
    </row>
    <row r="58" spans="1:11" ht="18" customHeight="1" x14ac:dyDescent="0.25">
      <c r="A58" s="4">
        <v>55</v>
      </c>
      <c r="B58" s="13"/>
      <c r="C58" s="6"/>
      <c r="D58" s="7">
        <v>0</v>
      </c>
      <c r="E58" s="8">
        <f t="shared" si="3"/>
        <v>0</v>
      </c>
      <c r="F58" s="6"/>
      <c r="G58" s="9">
        <f>SUM($C$4:C58)</f>
        <v>706</v>
      </c>
      <c r="H58" s="9" t="str">
        <f t="shared" si="4"/>
        <v/>
      </c>
      <c r="I58" s="10" t="str">
        <f t="shared" si="5"/>
        <v/>
      </c>
      <c r="J58" s="9">
        <f>AVERAGE($E$4:E58)</f>
        <v>12.672727272727272</v>
      </c>
      <c r="K58" s="11"/>
    </row>
    <row r="59" spans="1:11" ht="18" customHeight="1" x14ac:dyDescent="0.25">
      <c r="A59" s="12">
        <v>56</v>
      </c>
      <c r="B59" s="13"/>
      <c r="C59" s="6"/>
      <c r="D59" s="7">
        <v>0</v>
      </c>
      <c r="E59" s="8">
        <f t="shared" si="3"/>
        <v>0</v>
      </c>
      <c r="F59" s="6"/>
      <c r="G59" s="14">
        <f>SUM($C$4:C59)</f>
        <v>706</v>
      </c>
      <c r="H59" s="14" t="str">
        <f t="shared" si="4"/>
        <v/>
      </c>
      <c r="I59" s="15" t="str">
        <f t="shared" si="5"/>
        <v/>
      </c>
      <c r="J59" s="14">
        <f>AVERAGE($E$4:E59)</f>
        <v>12.446428571428571</v>
      </c>
      <c r="K59" s="11"/>
    </row>
    <row r="60" spans="1:11" ht="18" customHeight="1" x14ac:dyDescent="0.25">
      <c r="A60" s="4">
        <v>57</v>
      </c>
      <c r="B60" s="13"/>
      <c r="C60" s="6"/>
      <c r="D60" s="7">
        <v>0</v>
      </c>
      <c r="E60" s="8">
        <f t="shared" si="3"/>
        <v>0</v>
      </c>
      <c r="F60" s="6"/>
      <c r="G60" s="9">
        <f>SUM($C$4:C60)</f>
        <v>706</v>
      </c>
      <c r="H60" s="9" t="str">
        <f t="shared" si="4"/>
        <v/>
      </c>
      <c r="I60" s="10" t="str">
        <f t="shared" si="5"/>
        <v/>
      </c>
      <c r="J60" s="9">
        <f>AVERAGE($E$4:E60)</f>
        <v>12.228070175438596</v>
      </c>
      <c r="K60" s="11"/>
    </row>
    <row r="61" spans="1:11" ht="18" customHeight="1" x14ac:dyDescent="0.25">
      <c r="A61" s="12">
        <v>58</v>
      </c>
      <c r="B61" s="13"/>
      <c r="C61" s="6"/>
      <c r="D61" s="7">
        <v>0</v>
      </c>
      <c r="E61" s="8">
        <f t="shared" si="3"/>
        <v>0</v>
      </c>
      <c r="F61" s="6"/>
      <c r="G61" s="14">
        <f>SUM($C$4:C61)</f>
        <v>706</v>
      </c>
      <c r="H61" s="14" t="str">
        <f t="shared" si="4"/>
        <v/>
      </c>
      <c r="I61" s="15" t="str">
        <f t="shared" si="5"/>
        <v/>
      </c>
      <c r="J61" s="14">
        <f>AVERAGE($E$4:E61)</f>
        <v>12.017241379310345</v>
      </c>
      <c r="K61" s="11"/>
    </row>
    <row r="62" spans="1:11" ht="18" customHeight="1" x14ac:dyDescent="0.25">
      <c r="A62" s="4">
        <v>59</v>
      </c>
      <c r="B62" s="13"/>
      <c r="C62" s="6"/>
      <c r="D62" s="7">
        <v>0</v>
      </c>
      <c r="E62" s="8">
        <f t="shared" si="3"/>
        <v>0</v>
      </c>
      <c r="F62" s="6"/>
      <c r="G62" s="9">
        <f>SUM($C$4:C62)</f>
        <v>706</v>
      </c>
      <c r="H62" s="9" t="str">
        <f t="shared" si="4"/>
        <v/>
      </c>
      <c r="I62" s="10" t="str">
        <f t="shared" si="5"/>
        <v/>
      </c>
      <c r="J62" s="9">
        <f>AVERAGE($E$4:E62)</f>
        <v>11.813559322033898</v>
      </c>
      <c r="K62" s="11"/>
    </row>
    <row r="63" spans="1:11" ht="18" customHeight="1" x14ac:dyDescent="0.25">
      <c r="A63" s="12">
        <v>60</v>
      </c>
      <c r="B63" s="13"/>
      <c r="C63" s="6"/>
      <c r="D63" s="7">
        <v>0</v>
      </c>
      <c r="E63" s="8">
        <f t="shared" si="3"/>
        <v>0</v>
      </c>
      <c r="F63" s="6"/>
      <c r="G63" s="14">
        <f>SUM($C$4:C63)</f>
        <v>706</v>
      </c>
      <c r="H63" s="14" t="str">
        <f t="shared" si="4"/>
        <v/>
      </c>
      <c r="I63" s="15" t="str">
        <f t="shared" si="5"/>
        <v/>
      </c>
      <c r="J63" s="14">
        <f>AVERAGE($E$4:E63)</f>
        <v>11.616666666666667</v>
      </c>
      <c r="K63" s="11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zoomScaleNormal="100" workbookViewId="0">
      <pane ySplit="2" topLeftCell="A3" activePane="bottomLeft" state="frozen"/>
      <selection pane="bottomLeft" activeCell="F6" sqref="F6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4" customWidth="1"/>
    <col min="4" max="4" width="30" customWidth="1"/>
    <col min="5" max="7" width="22" customWidth="1"/>
  </cols>
  <sheetData>
    <row r="1" spans="1:7" ht="30" customHeight="1" x14ac:dyDescent="0.25">
      <c r="A1" s="58" t="s">
        <v>14</v>
      </c>
      <c r="B1" s="58"/>
      <c r="C1" s="58"/>
      <c r="D1" s="58"/>
      <c r="E1" s="58"/>
    </row>
    <row r="2" spans="1:7" ht="13.5" customHeight="1" x14ac:dyDescent="0.25">
      <c r="A2" s="52" t="s">
        <v>15</v>
      </c>
      <c r="B2" s="52"/>
      <c r="C2" s="52"/>
      <c r="D2" s="52"/>
      <c r="E2" s="52"/>
    </row>
    <row r="3" spans="1:7" ht="21.75" customHeight="1" x14ac:dyDescent="0.25">
      <c r="A3" s="59" t="s">
        <v>16</v>
      </c>
      <c r="B3" s="59"/>
      <c r="D3" s="59" t="s">
        <v>17</v>
      </c>
      <c r="E3" s="59"/>
      <c r="F3" s="16" t="s">
        <v>18</v>
      </c>
      <c r="G3" s="16" t="s">
        <v>19</v>
      </c>
    </row>
    <row r="4" spans="1:7" ht="18" customHeight="1" x14ac:dyDescent="0.25">
      <c r="A4" s="17" t="s">
        <v>20</v>
      </c>
      <c r="B4" s="18">
        <f>IFERROR(LOOKUP(2,1/(Registro_Mensual!G4:G63&lt;&gt;""),Registro_Mensual!G4:G63),"")</f>
        <v>706</v>
      </c>
      <c r="D4" s="60" t="s">
        <v>21</v>
      </c>
      <c r="E4" s="60"/>
    </row>
    <row r="5" spans="1:7" ht="18" customHeight="1" x14ac:dyDescent="0.25">
      <c r="A5" s="17" t="s">
        <v>22</v>
      </c>
      <c r="B5" s="18">
        <f ca="1">OFFSET(Registro_Mensual!F3,COUNTA(Registro_Mensual!F4:F63),0)</f>
        <v>730</v>
      </c>
      <c r="D5" s="17" t="s">
        <v>23</v>
      </c>
      <c r="E5" s="18">
        <f>B8</f>
        <v>116.16666666666667</v>
      </c>
      <c r="F5" s="19"/>
      <c r="G5" s="19"/>
    </row>
    <row r="6" spans="1:7" ht="18" customHeight="1" x14ac:dyDescent="0.25">
      <c r="A6" s="17" t="s">
        <v>24</v>
      </c>
      <c r="B6" s="18">
        <f ca="1">IFERROR(B5-B4,"")</f>
        <v>24</v>
      </c>
      <c r="D6" s="17" t="s">
        <v>25</v>
      </c>
      <c r="E6" s="20">
        <v>7.0000000000000007E-2</v>
      </c>
      <c r="F6" s="19"/>
      <c r="G6" s="19"/>
    </row>
    <row r="7" spans="1:7" ht="18" customHeight="1" x14ac:dyDescent="0.25">
      <c r="A7" s="17" t="s">
        <v>26</v>
      </c>
      <c r="B7" s="21">
        <f ca="1">IFERROR(B5/B4-1,"")</f>
        <v>3.3994334277620331E-2</v>
      </c>
      <c r="D7" s="17" t="s">
        <v>27</v>
      </c>
      <c r="E7" s="18">
        <f>E5*((1+E6/12)^60-1)/(E6/12)</f>
        <v>8316.7087414557391</v>
      </c>
      <c r="F7" s="23">
        <f>E5*60</f>
        <v>6970</v>
      </c>
      <c r="G7" s="23">
        <f>E7-F7</f>
        <v>1346.7087414557391</v>
      </c>
    </row>
    <row r="8" spans="1:7" ht="18" customHeight="1" x14ac:dyDescent="0.25">
      <c r="A8" s="17" t="s">
        <v>28</v>
      </c>
      <c r="B8" s="18">
        <f>IFERROR(AVERAGEIF(Registro_Mensual!C4:C63,"&gt;0",Registro_Mensual!E4:E63),"")</f>
        <v>116.16666666666667</v>
      </c>
      <c r="D8" s="17" t="s">
        <v>29</v>
      </c>
      <c r="E8" s="18">
        <f>E5*((1+E6/12)^120-1)/(E6/12)</f>
        <v>20106.685130195863</v>
      </c>
      <c r="F8" s="23">
        <f>E5*120</f>
        <v>13940</v>
      </c>
      <c r="G8" s="23">
        <f>E8-F8</f>
        <v>6166.6851301958632</v>
      </c>
    </row>
    <row r="9" spans="1:7" ht="18" customHeight="1" x14ac:dyDescent="0.25">
      <c r="A9" s="17" t="s">
        <v>30</v>
      </c>
      <c r="B9" s="22">
        <f>COUNTIF(Registro_Mensual!C4:C63,"&gt;0")</f>
        <v>6</v>
      </c>
      <c r="D9" s="17" t="s">
        <v>31</v>
      </c>
      <c r="E9" s="18">
        <f>E5*((1+E6/12)^240-1)/(E6/12)</f>
        <v>60514.313649730873</v>
      </c>
      <c r="F9" s="23">
        <f>E5*240</f>
        <v>27880</v>
      </c>
      <c r="G9" s="23">
        <f>E9-F9</f>
        <v>32634.313649730873</v>
      </c>
    </row>
    <row r="10" spans="1:7" ht="18" customHeight="1" x14ac:dyDescent="0.25">
      <c r="A10" s="55" t="s">
        <v>32</v>
      </c>
      <c r="B10" s="55"/>
      <c r="D10" s="17" t="s">
        <v>33</v>
      </c>
      <c r="E10" s="18">
        <f>E5*((1+E6/12)^360-1)/(E6/12)</f>
        <v>141719.96400930526</v>
      </c>
      <c r="F10" s="23">
        <f>E5*360</f>
        <v>41820</v>
      </c>
      <c r="G10" s="23">
        <f>E10-F10</f>
        <v>99899.964009305259</v>
      </c>
    </row>
    <row r="11" spans="1:7" ht="18" customHeight="1" x14ac:dyDescent="0.25">
      <c r="A11" s="1"/>
      <c r="B11" s="1"/>
      <c r="D11" s="17" t="s">
        <v>41</v>
      </c>
      <c r="E11" s="18">
        <f>E5*((1+E6/12)^480-1)/(E6/12)</f>
        <v>304915.82310639165</v>
      </c>
      <c r="F11" s="23">
        <f>E5*480</f>
        <v>55760</v>
      </c>
      <c r="G11" s="23">
        <f>E11-F11</f>
        <v>249155.82310639165</v>
      </c>
    </row>
    <row r="12" spans="1:7" ht="15" customHeight="1" x14ac:dyDescent="0.25">
      <c r="D12" s="56" t="s">
        <v>34</v>
      </c>
      <c r="E12" s="56"/>
    </row>
    <row r="13" spans="1:7" ht="21.75" customHeight="1" x14ac:dyDescent="0.25">
      <c r="A13" s="57" t="s">
        <v>35</v>
      </c>
      <c r="B13" s="57"/>
      <c r="C13" s="57"/>
      <c r="D13" s="57"/>
      <c r="E13" s="57"/>
    </row>
    <row r="14" spans="1:7" ht="21.75" customHeight="1" x14ac:dyDescent="0.25">
      <c r="A14" s="53" t="s">
        <v>36</v>
      </c>
      <c r="B14" s="53"/>
      <c r="C14" s="53"/>
      <c r="D14" s="53"/>
      <c r="E14" s="53"/>
    </row>
    <row r="15" spans="1:7" ht="21.75" customHeight="1" x14ac:dyDescent="0.25">
      <c r="A15" s="54" t="s">
        <v>37</v>
      </c>
      <c r="B15" s="54"/>
      <c r="C15" s="54"/>
      <c r="D15" s="54"/>
      <c r="E15" s="54"/>
    </row>
    <row r="16" spans="1:7" ht="21.75" customHeight="1" x14ac:dyDescent="0.25">
      <c r="A16" s="53" t="s">
        <v>38</v>
      </c>
      <c r="B16" s="53"/>
      <c r="C16" s="53"/>
      <c r="D16" s="53"/>
      <c r="E16" s="53"/>
    </row>
    <row r="17" spans="1:5" ht="21.75" customHeight="1" x14ac:dyDescent="0.25">
      <c r="A17" s="54" t="s">
        <v>39</v>
      </c>
      <c r="B17" s="54"/>
      <c r="C17" s="54"/>
      <c r="D17" s="54"/>
      <c r="E17" s="54"/>
    </row>
    <row r="18" spans="1:5" ht="21.75" customHeight="1" x14ac:dyDescent="0.25">
      <c r="A18" s="53" t="s">
        <v>40</v>
      </c>
      <c r="B18" s="53"/>
      <c r="C18" s="53"/>
      <c r="D18" s="53"/>
      <c r="E18" s="53"/>
    </row>
  </sheetData>
  <mergeCells count="13">
    <mergeCell ref="A1:E1"/>
    <mergeCell ref="A2:E2"/>
    <mergeCell ref="A3:B3"/>
    <mergeCell ref="D3:E3"/>
    <mergeCell ref="D4:E4"/>
    <mergeCell ref="A16:E16"/>
    <mergeCell ref="A17:E17"/>
    <mergeCell ref="A18:E18"/>
    <mergeCell ref="A10:B10"/>
    <mergeCell ref="D12:E12"/>
    <mergeCell ref="A13:E13"/>
    <mergeCell ref="A14:E14"/>
    <mergeCell ref="A15:E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CF63-A9CC-4BE2-B119-A050F91FC767}">
  <dimension ref="B1:R18"/>
  <sheetViews>
    <sheetView showGridLines="0" tabSelected="1" zoomScale="70" zoomScaleNormal="70" workbookViewId="0">
      <selection activeCell="D24" sqref="D24"/>
    </sheetView>
  </sheetViews>
  <sheetFormatPr baseColWidth="10" defaultRowHeight="15" x14ac:dyDescent="0.25"/>
  <cols>
    <col min="2" max="2" width="12" customWidth="1"/>
    <col min="3" max="4" width="13.42578125" style="25" customWidth="1"/>
    <col min="6" max="6" width="12.7109375" bestFit="1" customWidth="1"/>
    <col min="7" max="7" width="13.7109375" customWidth="1"/>
    <col min="8" max="8" width="11.42578125" style="31"/>
    <col min="17" max="17" width="11.42578125" style="39"/>
    <col min="18" max="18" width="12.7109375" style="38" customWidth="1"/>
  </cols>
  <sheetData>
    <row r="1" spans="2:18" x14ac:dyDescent="0.25">
      <c r="B1" s="61" t="s">
        <v>50</v>
      </c>
      <c r="C1" s="61"/>
      <c r="D1" s="40"/>
      <c r="F1" s="61" t="s">
        <v>47</v>
      </c>
      <c r="G1" s="61"/>
      <c r="H1" s="61"/>
      <c r="I1" s="61"/>
    </row>
    <row r="2" spans="2:18" x14ac:dyDescent="0.25">
      <c r="B2" s="29" t="s">
        <v>46</v>
      </c>
      <c r="C2" s="30" t="s">
        <v>48</v>
      </c>
      <c r="D2" s="41" t="s">
        <v>72</v>
      </c>
      <c r="F2" t="s">
        <v>46</v>
      </c>
      <c r="G2" t="s">
        <v>49</v>
      </c>
      <c r="H2" s="31" t="s">
        <v>48</v>
      </c>
      <c r="I2" t="s">
        <v>53</v>
      </c>
      <c r="P2" t="s">
        <v>2</v>
      </c>
      <c r="Q2" s="39" t="s">
        <v>48</v>
      </c>
      <c r="R2" s="38" t="s">
        <v>54</v>
      </c>
    </row>
    <row r="3" spans="2:18" x14ac:dyDescent="0.25">
      <c r="B3" s="26" t="s">
        <v>42</v>
      </c>
      <c r="C3" s="27">
        <f t="shared" ref="C3:C11" si="0">SUMIF(F:F,B3,H:H)</f>
        <v>131</v>
      </c>
      <c r="D3" s="42">
        <f>Tabla3[[#This Row],[Balance]]/$C$12</f>
        <v>0.10073668507097706</v>
      </c>
      <c r="F3" t="s">
        <v>45</v>
      </c>
      <c r="G3" s="24">
        <v>46218</v>
      </c>
      <c r="H3" s="31">
        <v>8</v>
      </c>
      <c r="I3" s="31">
        <f>SUM($H$3:H3)</f>
        <v>8</v>
      </c>
      <c r="P3" t="s">
        <v>55</v>
      </c>
      <c r="Q3" s="39">
        <f t="array" ref="Q3">SUMPRODUCT(($G$3:$G$112&lt;&gt;"")*(TEXT($G$3:$G$112,"mmmm")=P3)*$H$3:$H$112)</f>
        <v>0</v>
      </c>
      <c r="R3" s="38">
        <f t="shared" ref="R3:R14" si="1">IFERROR($Q3/SUM($Q$3:$Q$14),0)</f>
        <v>0</v>
      </c>
    </row>
    <row r="4" spans="2:18" x14ac:dyDescent="0.25">
      <c r="B4" s="26" t="s">
        <v>44</v>
      </c>
      <c r="C4" s="27">
        <f t="shared" si="0"/>
        <v>53.4</v>
      </c>
      <c r="D4" s="42">
        <f>Tabla3[[#This Row],[Balance]]/$C$12</f>
        <v>4.106365635717691E-2</v>
      </c>
      <c r="F4" t="s">
        <v>45</v>
      </c>
      <c r="G4" s="24">
        <v>46219</v>
      </c>
      <c r="H4" s="31">
        <v>7.88</v>
      </c>
      <c r="I4" s="31">
        <f>SUM($H$3:H4)</f>
        <v>15.879999999999999</v>
      </c>
      <c r="P4" t="s">
        <v>56</v>
      </c>
      <c r="Q4" s="39">
        <f t="array" ref="Q4">SUMPRODUCT(($G$3:$G$112&lt;&gt;"")*(TEXT($G$3:$G$112,"mmmm")=P4)*$H$3:$H$112)</f>
        <v>0</v>
      </c>
      <c r="R4" s="38">
        <f t="shared" si="1"/>
        <v>0</v>
      </c>
    </row>
    <row r="5" spans="2:18" x14ac:dyDescent="0.25">
      <c r="B5" s="26" t="s">
        <v>45</v>
      </c>
      <c r="C5" s="27">
        <f t="shared" si="0"/>
        <v>15.879999999999999</v>
      </c>
      <c r="D5" s="42">
        <f>Tabla3[[#This Row],[Balance]]/$C$12</f>
        <v>1.221143938112302E-2</v>
      </c>
      <c r="F5" t="s">
        <v>44</v>
      </c>
      <c r="G5" s="24">
        <v>46220</v>
      </c>
      <c r="H5" s="31">
        <v>19.399999999999999</v>
      </c>
      <c r="I5" s="31">
        <f>SUM($H$3:H5)</f>
        <v>35.28</v>
      </c>
      <c r="P5" t="s">
        <v>57</v>
      </c>
      <c r="Q5" s="39">
        <f t="array" ref="Q5">SUMPRODUCT(($G$3:$G$112&lt;&gt;"")*(TEXT($G$3:$G$112,"mmmm")=P5)*$H$3:$H$112)</f>
        <v>0</v>
      </c>
      <c r="R5" s="38">
        <f t="shared" si="1"/>
        <v>0</v>
      </c>
    </row>
    <row r="6" spans="2:18" x14ac:dyDescent="0.25">
      <c r="B6" s="26" t="s">
        <v>67</v>
      </c>
      <c r="C6" s="27">
        <f t="shared" si="0"/>
        <v>51</v>
      </c>
      <c r="D6" s="42">
        <f>Tabla3[[#This Row],[Balance]]/$C$12</f>
        <v>3.9218098768090306E-2</v>
      </c>
      <c r="F6" t="s">
        <v>42</v>
      </c>
      <c r="G6" s="24">
        <v>46232</v>
      </c>
      <c r="H6" s="31">
        <v>131</v>
      </c>
      <c r="I6" s="31">
        <f>SUM($H$3:H6)</f>
        <v>166.28</v>
      </c>
      <c r="P6" t="s">
        <v>58</v>
      </c>
      <c r="Q6" s="39">
        <f t="array" ref="Q6">SUMPRODUCT(($G$3:$G$112&lt;&gt;"")*(TEXT($G$3:$G$112,"mmmm")=P6)*$H$3:$H$112)</f>
        <v>0</v>
      </c>
      <c r="R6" s="38">
        <f t="shared" si="1"/>
        <v>0</v>
      </c>
    </row>
    <row r="7" spans="2:18" x14ac:dyDescent="0.25">
      <c r="B7" s="26" t="s">
        <v>68</v>
      </c>
      <c r="C7" s="27">
        <f t="shared" si="0"/>
        <v>459.14</v>
      </c>
      <c r="D7" s="42">
        <f>Tabla3[[#This Row],[Balance]]/$C$12</f>
        <v>0.35307054643884278</v>
      </c>
      <c r="F7" t="s">
        <v>44</v>
      </c>
      <c r="G7" s="24">
        <v>46234</v>
      </c>
      <c r="H7" s="31">
        <v>34</v>
      </c>
      <c r="I7" s="31">
        <f>SUM($H$3:H7)</f>
        <v>200.28</v>
      </c>
      <c r="P7" t="s">
        <v>59</v>
      </c>
      <c r="Q7" s="39">
        <f t="array" ref="Q7">SUMPRODUCT(($G$3:$G$112&lt;&gt;"")*(TEXT($G$3:$G$112,"mmmm")=P7)*$H$3:$H$112)</f>
        <v>0</v>
      </c>
      <c r="R7" s="38">
        <f t="shared" si="1"/>
        <v>0</v>
      </c>
    </row>
    <row r="8" spans="2:18" x14ac:dyDescent="0.25">
      <c r="B8" s="26" t="s">
        <v>69</v>
      </c>
      <c r="C8" s="27">
        <f t="shared" si="0"/>
        <v>6</v>
      </c>
      <c r="D8" s="42">
        <f>Tabla3[[#This Row],[Balance]]/$C$12</f>
        <v>4.6138939727165063E-3</v>
      </c>
      <c r="F8" t="s">
        <v>67</v>
      </c>
      <c r="G8" s="24">
        <v>46254</v>
      </c>
      <c r="H8" s="31">
        <v>51</v>
      </c>
      <c r="I8" s="31">
        <f>SUM($H$3:H8)</f>
        <v>251.28</v>
      </c>
      <c r="P8" t="s">
        <v>60</v>
      </c>
      <c r="Q8" s="39">
        <f t="array" ref="Q8">SUMPRODUCT(($G$3:$G$112&lt;&gt;"")*(TEXT($G$3:$G$112,"mmmm")=P8)*$H$3:$H$112)</f>
        <v>0</v>
      </c>
      <c r="R8" s="38">
        <f t="shared" si="1"/>
        <v>0</v>
      </c>
    </row>
    <row r="9" spans="2:18" x14ac:dyDescent="0.25">
      <c r="B9" s="26" t="s">
        <v>70</v>
      </c>
      <c r="C9" s="27">
        <f t="shared" si="0"/>
        <v>44.64</v>
      </c>
      <c r="D9" s="42">
        <f>Tabla3[[#This Row],[Balance]]/$C$12</f>
        <v>3.4327371157010809E-2</v>
      </c>
      <c r="F9" t="s">
        <v>68</v>
      </c>
      <c r="G9" s="24">
        <v>46260</v>
      </c>
      <c r="H9" s="31">
        <v>29.53</v>
      </c>
      <c r="I9" s="31">
        <f>SUM($H$3:H9)</f>
        <v>280.81</v>
      </c>
      <c r="P9" t="s">
        <v>61</v>
      </c>
      <c r="Q9" s="39">
        <f t="array" ref="Q9">SUMPRODUCT(($G$3:$G$112&lt;&gt;"")*(TEXT($G$3:$G$112,"mmmm")=P9)*$H$3:$H$112)</f>
        <v>200.28</v>
      </c>
      <c r="R9" s="38">
        <f t="shared" si="1"/>
        <v>0.15401178080927702</v>
      </c>
    </row>
    <row r="10" spans="2:18" x14ac:dyDescent="0.25">
      <c r="B10" s="26" t="s">
        <v>71</v>
      </c>
      <c r="C10" s="27">
        <f t="shared" si="0"/>
        <v>510.86</v>
      </c>
      <c r="D10" s="42">
        <f>Tabla3[[#This Row],[Balance]]/$C$12</f>
        <v>0.39284231248365914</v>
      </c>
      <c r="F10" t="s">
        <v>68</v>
      </c>
      <c r="G10" s="24">
        <v>46261</v>
      </c>
      <c r="H10" s="31">
        <v>377.61</v>
      </c>
      <c r="I10" s="31">
        <f>SUM($H$3:H10)</f>
        <v>658.42000000000007</v>
      </c>
      <c r="P10" t="s">
        <v>62</v>
      </c>
      <c r="Q10" s="39">
        <f t="array" ref="Q10">SUMPRODUCT(($G$3:$G$112&lt;&gt;"")*(TEXT($G$3:$G$112,"mmmm")=P10)*$H$3:$H$112)</f>
        <v>695.4799999999999</v>
      </c>
      <c r="R10" s="38">
        <f t="shared" si="1"/>
        <v>0.53481183002414601</v>
      </c>
    </row>
    <row r="11" spans="2:18" x14ac:dyDescent="0.25">
      <c r="B11" t="s">
        <v>73</v>
      </c>
      <c r="C11" s="28">
        <f t="shared" si="0"/>
        <v>28.5</v>
      </c>
      <c r="D11" s="42">
        <f>Tabla3[[#This Row],[Balance]]/$C$12</f>
        <v>2.1915996370403406E-2</v>
      </c>
      <c r="F11" t="s">
        <v>69</v>
      </c>
      <c r="G11" s="24">
        <v>46262</v>
      </c>
      <c r="H11" s="31">
        <v>6</v>
      </c>
      <c r="I11" s="31">
        <f>SUM($H$3:H11)</f>
        <v>664.42000000000007</v>
      </c>
      <c r="P11" t="s">
        <v>63</v>
      </c>
      <c r="Q11" s="39">
        <f t="array" ref="Q11">SUMPRODUCT(($G$3:$G$112&lt;&gt;"")*(TEXT($G$3:$G$112,"mmmm")=P11)*$H$3:$H$112)</f>
        <v>404.65999999999997</v>
      </c>
      <c r="R11" s="38">
        <f t="shared" si="1"/>
        <v>0.31117638916657697</v>
      </c>
    </row>
    <row r="12" spans="2:18" x14ac:dyDescent="0.25">
      <c r="B12" s="36" t="s">
        <v>43</v>
      </c>
      <c r="C12" s="37">
        <f>SUM(C3:C11)</f>
        <v>1300.42</v>
      </c>
      <c r="D12"/>
      <c r="F12" t="s">
        <v>70</v>
      </c>
      <c r="G12" s="24">
        <v>46262</v>
      </c>
      <c r="H12" s="31">
        <v>40.25</v>
      </c>
      <c r="I12" s="31">
        <f>SUM($H$3:H12)</f>
        <v>704.67000000000007</v>
      </c>
      <c r="P12" t="s">
        <v>64</v>
      </c>
      <c r="Q12" s="39">
        <f t="array" ref="Q12">SUMPRODUCT(($G$3:$G$112&lt;&gt;"")*(TEXT($G$3:$G$112,"mmmm")=P12)*$H$3:$H$112)</f>
        <v>0</v>
      </c>
      <c r="R12" s="38">
        <f t="shared" si="1"/>
        <v>0</v>
      </c>
    </row>
    <row r="13" spans="2:18" x14ac:dyDescent="0.25">
      <c r="B13" s="33" t="s">
        <v>51</v>
      </c>
      <c r="C13" s="32">
        <f>C12*0.19*-1</f>
        <v>-247.07980000000001</v>
      </c>
      <c r="D13"/>
      <c r="F13" t="s">
        <v>71</v>
      </c>
      <c r="G13" s="24">
        <v>46262</v>
      </c>
      <c r="H13" s="31">
        <f>43.58+23.35</f>
        <v>66.930000000000007</v>
      </c>
      <c r="I13" s="31">
        <f>SUM($H$3:H13)</f>
        <v>771.60000000000014</v>
      </c>
      <c r="P13" t="s">
        <v>65</v>
      </c>
      <c r="Q13" s="39">
        <f t="array" ref="Q13">SUMPRODUCT(($G$3:$G$112&lt;&gt;"")*(TEXT($G$3:$G$112,"mmmm")=P13)*$H$3:$H$112)</f>
        <v>0</v>
      </c>
      <c r="R13" s="38">
        <f t="shared" si="1"/>
        <v>0</v>
      </c>
    </row>
    <row r="14" spans="2:18" x14ac:dyDescent="0.25">
      <c r="B14" s="34" t="s">
        <v>52</v>
      </c>
      <c r="C14" s="35">
        <f>C12+C13</f>
        <v>1053.3402000000001</v>
      </c>
      <c r="D14"/>
      <c r="F14" t="s">
        <v>71</v>
      </c>
      <c r="G14" s="24">
        <v>46265</v>
      </c>
      <c r="H14" s="31">
        <f>47.38+80.22-3.44</f>
        <v>124.16</v>
      </c>
      <c r="I14" s="31">
        <f>SUM($H$3:H14)</f>
        <v>895.7600000000001</v>
      </c>
      <c r="P14" t="s">
        <v>66</v>
      </c>
      <c r="Q14" s="39">
        <f t="array" ref="Q14">SUMPRODUCT(($G$3:$G$112&lt;&gt;"")*(TEXT($G$3:$G$112,"mmmm")=P14)*$H$3:$H$112)</f>
        <v>0</v>
      </c>
      <c r="R14" s="38">
        <f t="shared" si="1"/>
        <v>0</v>
      </c>
    </row>
    <row r="15" spans="2:18" x14ac:dyDescent="0.25">
      <c r="D15"/>
      <c r="F15" t="s">
        <v>70</v>
      </c>
      <c r="G15" s="24">
        <v>46267</v>
      </c>
      <c r="H15" s="31">
        <f>39.39-35</f>
        <v>4.3900000000000006</v>
      </c>
      <c r="I15" s="31">
        <f>SUM($H$3:H15)</f>
        <v>900.15000000000009</v>
      </c>
    </row>
    <row r="16" spans="2:18" x14ac:dyDescent="0.25">
      <c r="F16" t="s">
        <v>71</v>
      </c>
      <c r="G16" s="24">
        <v>46268</v>
      </c>
      <c r="H16" s="31">
        <f>29.34+22.92+29.92+45.89+191.7</f>
        <v>319.77</v>
      </c>
      <c r="I16" s="31">
        <f>SUM($H$3:H16)</f>
        <v>1219.92</v>
      </c>
    </row>
    <row r="17" spans="6:9" x14ac:dyDescent="0.25">
      <c r="F17" t="s">
        <v>73</v>
      </c>
      <c r="G17" s="24">
        <v>46269</v>
      </c>
      <c r="H17" s="31">
        <f>113-84.5</f>
        <v>28.5</v>
      </c>
      <c r="I17" s="31">
        <f>SUM($H$3:H17)</f>
        <v>1248.42</v>
      </c>
    </row>
    <row r="18" spans="6:9" x14ac:dyDescent="0.25">
      <c r="F18" t="s">
        <v>68</v>
      </c>
      <c r="G18" s="24">
        <v>46287</v>
      </c>
      <c r="H18" s="31">
        <f>150-98</f>
        <v>52</v>
      </c>
      <c r="I18" s="31">
        <f>SUM($H$3:H18)</f>
        <v>1300.42</v>
      </c>
    </row>
  </sheetData>
  <mergeCells count="2">
    <mergeCell ref="B1:C1"/>
    <mergeCell ref="F1:I1"/>
  </mergeCells>
  <phoneticPr fontId="16" type="noConversion"/>
  <conditionalFormatting sqref="C3:D11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{E26128B9-01F4-46FC-8E97-42D3D183D502}</x14:id>
        </ext>
      </extLst>
    </cfRule>
  </conditionalFormatting>
  <conditionalFormatting sqref="C16:D1048576 C15 C3:D1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{77F84ACE-D316-480D-B918-04CEA84DBCE9}</x14:id>
        </ext>
      </extLst>
    </cfRule>
  </conditionalFormatting>
  <conditionalFormatting sqref="C2:D2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{8574F4BE-9390-4DEC-A36D-A8EC7E2D95CF}</x14:id>
        </ext>
      </extLst>
    </cfRule>
  </conditionalFormatting>
  <conditionalFormatting sqref="C2:D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{A19D6E6F-6841-43C9-8235-0F835BE2EFF0}</x14:id>
        </ext>
      </extLst>
    </cfRule>
  </conditionalFormatting>
  <conditionalFormatting sqref="D3:D11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6128B9-01F4-46FC-8E97-42D3D183D5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C3:D11</xm:sqref>
        </x14:conditionalFormatting>
        <x14:conditionalFormatting xmlns:xm="http://schemas.microsoft.com/office/excel/2006/main">
          <x14:cfRule type="dataBar" id="{77F84ACE-D316-480D-B918-04CEA84DBC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C16:D1048576 C15 C3:D11</xm:sqref>
        </x14:conditionalFormatting>
        <x14:conditionalFormatting xmlns:xm="http://schemas.microsoft.com/office/excel/2006/main">
          <x14:cfRule type="dataBar" id="{8574F4BE-9390-4DEC-A36D-A8EC7E2D9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C2:D2</xm:sqref>
        </x14:conditionalFormatting>
        <x14:conditionalFormatting xmlns:xm="http://schemas.microsoft.com/office/excel/2006/main">
          <x14:cfRule type="dataBar" id="{A19D6E6F-6841-43C9-8235-0F835BE2EF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C2:D2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Registro_Mensual</vt:lpstr>
      <vt:lpstr>Resumen</vt:lpstr>
      <vt:lpstr>Beneficios bolsa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</cp:lastModifiedBy>
  <cp:revision>0</cp:revision>
  <dcterms:created xsi:type="dcterms:W3CDTF">2026-04-04T10:11:19Z</dcterms:created>
  <dcterms:modified xsi:type="dcterms:W3CDTF">2026-09-27T07:40:21Z</dcterms:modified>
  <dc:language>en-US</dc:language>
</cp:coreProperties>
</file>