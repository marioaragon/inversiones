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13_ncr:1_{B668A5F9-B133-4E9D-85CA-B0455544BC34}" xr6:coauthVersionLast="47" xr6:coauthVersionMax="47" xr10:uidLastSave="{00000000-0000-0000-0000-000000000000}"/>
  <bookViews>
    <workbookView xWindow="-120" yWindow="-120" windowWidth="20640" windowHeight="11040" tabRatio="500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definedNames>
    <definedName name="_xlchart.v1.0" hidden="1">'Beneficios bolsa'!$B$3:$B$11</definedName>
    <definedName name="_xlchart.v1.1" hidden="1">'Beneficios bolsa'!$C$2</definedName>
    <definedName name="_xlchart.v1.2" hidden="1">'Beneficios bolsa'!$C$3:$C$11</definedName>
    <definedName name="_xlchart.v1.3" hidden="1">'Beneficios bolsa'!$D$2</definedName>
    <definedName name="_xlchart.v1.4" hidden="1">'Beneficios bolsa'!$D$3:$D$11</definedName>
  </definedNames>
  <calcPr calcId="191029" iterateDelta="1E-4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8" i="3"/>
  <c r="D9" i="3"/>
  <c r="D10" i="3"/>
  <c r="D11" i="3"/>
  <c r="D3" i="3"/>
  <c r="C11" i="3"/>
  <c r="I4" i="3"/>
  <c r="I5" i="3"/>
  <c r="I6" i="3"/>
  <c r="I7" i="3"/>
  <c r="I8" i="3"/>
  <c r="I9" i="3"/>
  <c r="I10" i="3"/>
  <c r="I11" i="3"/>
  <c r="I12" i="3"/>
  <c r="I13" i="3"/>
  <c r="I14" i="3"/>
  <c r="I15" i="3"/>
  <c r="H14" i="3"/>
  <c r="H13" i="3"/>
  <c r="C3" i="3"/>
  <c r="Q9" i="3" a="1"/>
  <c r="Q9" i="3" s="1"/>
  <c r="Q6" i="3" a="1"/>
  <c r="Q6" i="3" s="1"/>
  <c r="Q8" i="3" a="1"/>
  <c r="Q8" i="3" s="1"/>
  <c r="Q11" i="3" a="1"/>
  <c r="Q11" i="3" s="1"/>
  <c r="Q14" i="3" a="1"/>
  <c r="Q14" i="3" s="1"/>
  <c r="Q3" i="3" a="1"/>
  <c r="Q3" i="3" s="1"/>
  <c r="I3" i="3"/>
  <c r="C4" i="3"/>
  <c r="C5" i="3"/>
  <c r="C6" i="3"/>
  <c r="C7" i="3"/>
  <c r="C8" i="3"/>
  <c r="C9" i="3"/>
  <c r="C10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Q13" i="3" l="1" a="1"/>
  <c r="Q13" i="3" s="1"/>
  <c r="Q12" i="3" a="1"/>
  <c r="Q12" i="3" s="1"/>
  <c r="Q7" i="3" a="1"/>
  <c r="Q7" i="3" s="1"/>
  <c r="Q5" i="3" a="1"/>
  <c r="Q5" i="3" s="1"/>
  <c r="Q4" i="3" a="1"/>
  <c r="Q4" i="3" s="1"/>
  <c r="Q10" i="3" a="1"/>
  <c r="Q10" i="3" s="1"/>
  <c r="B4" i="2"/>
  <c r="B6" i="2" s="1"/>
  <c r="C12" i="3"/>
  <c r="H4" i="1"/>
  <c r="H5" i="1"/>
  <c r="J7" i="1"/>
  <c r="H6" i="1"/>
  <c r="J62" i="1"/>
  <c r="I33" i="1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B7" i="2" l="1"/>
  <c r="R10" i="3"/>
  <c r="R3" i="3"/>
  <c r="R5" i="3"/>
  <c r="R7" i="3"/>
  <c r="R12" i="3"/>
  <c r="R13" i="3"/>
  <c r="R9" i="3"/>
  <c r="R6" i="3"/>
  <c r="R14" i="3"/>
  <c r="R4" i="3"/>
  <c r="R11" i="3"/>
  <c r="R8" i="3"/>
  <c r="C13" i="3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sharedStrings.xml><?xml version="1.0" encoding="utf-8"?>
<sst xmlns="http://schemas.openxmlformats.org/spreadsheetml/2006/main" count="90" uniqueCount="73">
  <si>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</si>
  <si>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</si>
  <si>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</si>
  <si>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</si>
  <si>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</si>
  <si>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</si>
  <si>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</si>
  <si>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</si>
  <si>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</si>
  <si>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</si>
  <si>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</si>
  <si>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</si>
  <si>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</si>
  <si>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</si>
  <si>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</si>
  <si>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</si>
  <si>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</si>
  <si>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</si>
  <si>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</si>
  <si>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</si>
  <si>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</si>
  <si>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</si>
  <si>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</si>
  <si>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</si>
  <si>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</si>
  <si>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</si>
  <si>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</si>
  <si>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</si>
  <si>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</si>
  <si>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</si>
  <si>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</si>
  <si>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</si>
  <si>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</si>
  <si>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</si>
  <si>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</si>
  <si>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</si>
  <si>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</si>
  <si>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</si>
  <si>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</si>
  <si>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</si>
  <si>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</si>
  <si>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</si>
  <si>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</si>
  <si>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</si>
  <si>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</si>
  <si>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</si>
  <si>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</si>
  <si>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</si>
  <si>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</si>
  <si>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</si>
  <si>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</si>
  <si>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</si>
  <si>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</si>
  <si>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</si>
  <si>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</si>
  <si>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</si>
  <si>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</si>
  <si>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</si>
  <si>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</si>
  <si>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</si>
  <si>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</si>
  <si>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</si>
  <si>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</si>
  <si>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</si>
  <si>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</si>
  <si>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</si>
  <si>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</si>
  <si>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</si>
  <si>
    <t>Nvidia</t>
  </si>
  <si>
    <t>Alphabet</t>
  </si>
  <si>
    <t>Uber</t>
  </si>
  <si>
    <t>SpaceX</t>
  </si>
  <si>
    <t>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</si>
</sst>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rgb="FFEBF5FB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63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0" fontId="0" fillId="0" borderId="7" xfId="0" applyBorder="1"/>
    <xf numFmtId="166" fontId="0" fillId="0" borderId="8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168" fontId="0" fillId="0" borderId="0" xfId="0" applyNumberFormat="1"/>
    <xf numFmtId="0" fontId="0" fillId="12" borderId="0" xfId="0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12" borderId="0" xfId="0" applyFill="1" applyAlignment="1">
      <alignment horizontal="center"/>
    </xf>
    <xf numFmtId="166" fontId="0" fillId="0" borderId="9" xfId="1" applyNumberFormat="1" applyFont="1" applyBorder="1"/>
    <xf numFmtId="9" fontId="0" fillId="0" borderId="0" xfId="2" applyFont="1" applyBorder="1"/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5" fillId="15" borderId="1" xfId="0" applyNumberFormat="1" applyFont="1" applyFill="1" applyBorder="1" applyAlignment="1">
      <alignment horizontal="center" vertical="center" wrapText="1"/>
    </xf>
    <xf numFmtId="164" fontId="5" fillId="15" borderId="0" xfId="0" applyNumberFormat="1" applyFont="1" applyFill="1" applyAlignment="1">
      <alignment horizontal="center" vertical="center"/>
    </xf>
    <xf numFmtId="164" fontId="6" fillId="15" borderId="0" xfId="0" applyNumberFormat="1" applyFont="1" applyFill="1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 wrapText="1"/>
    </xf>
    <xf numFmtId="10" fontId="6" fillId="15" borderId="1" xfId="0" applyNumberFormat="1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/>
    </xf>
  </cellXfs>
  <cellStyles count="3">
    <cellStyle name="Moneda" xfId="1" builtinId="4"/>
    <cellStyle name="Normal" xfId="0" builtinId="0"/>
    <cellStyle name="Porcentaje" xfId="2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8" formatCode="_-[$€-2]\ * #,##0.00_-;\-[$€-2]\ * #,##0.00_-;_-[$€-2]\ * &quot;-&quot;??_-;_-@_-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bolsa'!$H$2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bolsa'!$F$3:$G$15</c:f>
              <c:multiLvlStrCache>
                <c:ptCount val="13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</c:lvl>
              </c:multiLvlStrCache>
            </c:multiLvlStrRef>
          </c:cat>
          <c:val>
            <c:numRef>
              <c:f>'Beneficios bolsa'!$H$3:$H$15</c:f>
              <c:numCache>
                <c:formatCode>_-* #,##0.00\ [$€-C0A]_-;\-* #,##0.00\ [$€-C0A]_-;_-* "-"??\ [$€-C0A]_-;_-@_-</c:formatCode>
                <c:ptCount val="13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  <c:pt idx="6">
                  <c:v>29.53</c:v>
                </c:pt>
                <c:pt idx="7">
                  <c:v>377.61</c:v>
                </c:pt>
                <c:pt idx="8">
                  <c:v>6</c:v>
                </c:pt>
                <c:pt idx="9">
                  <c:v>40.25</c:v>
                </c:pt>
                <c:pt idx="10">
                  <c:v>66.930000000000007</c:v>
                </c:pt>
                <c:pt idx="11">
                  <c:v>124.16</c:v>
                </c:pt>
                <c:pt idx="12">
                  <c:v>39.39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bolsa'!$I$2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bolsa'!$F$3:$G$15</c:f>
              <c:multiLvlStrCache>
                <c:ptCount val="13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</c:lvl>
              </c:multiLvlStrCache>
            </c:multiLvlStrRef>
          </c:cat>
          <c:val>
            <c:numRef>
              <c:f>'Beneficios bolsa'!$I$3:$I$15</c:f>
              <c:numCache>
                <c:formatCode>_-* #,##0.00\ [$€-C0A]_-;\-* #,##0.00\ [$€-C0A]_-;_-* "-"??\ [$€-C0A]_-;_-@_-</c:formatCode>
                <c:ptCount val="13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200.28</c:v>
                </c:pt>
                <c:pt idx="5">
                  <c:v>251.28</c:v>
                </c:pt>
                <c:pt idx="6">
                  <c:v>280.81</c:v>
                </c:pt>
                <c:pt idx="7">
                  <c:v>658.42000000000007</c:v>
                </c:pt>
                <c:pt idx="8">
                  <c:v>664.42000000000007</c:v>
                </c:pt>
                <c:pt idx="9">
                  <c:v>704.67000000000007</c:v>
                </c:pt>
                <c:pt idx="10">
                  <c:v>771.60000000000014</c:v>
                </c:pt>
                <c:pt idx="11">
                  <c:v>895.7600000000001</c:v>
                </c:pt>
                <c:pt idx="12">
                  <c:v>935.15000000000009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bolsa'!$Q$2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695.4799999999999</c:v>
                </c:pt>
                <c:pt idx="8">
                  <c:v>39.39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7932496"/>
        <c:axId val="1267929584"/>
      </c:barChart>
      <c:lineChart>
        <c:grouping val="standard"/>
        <c:varyColors val="0"/>
        <c:ser>
          <c:idx val="1"/>
          <c:order val="1"/>
          <c:tx>
            <c:strRef>
              <c:f>'Beneficios bolsa'!$R$2</c:f>
              <c:strCache>
                <c:ptCount val="1"/>
                <c:pt idx="0">
                  <c:v>Peso anual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bolsa'!$R$3:$R$14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0.21416884991712562</c:v>
                </c:pt>
                <c:pt idx="7">
                  <c:v>0.74370956531037802</c:v>
                </c:pt>
                <c:pt idx="8">
                  <c:v>4.2121584772496397E-2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942064"/>
        <c:axId val="1267939568"/>
      </c:lineChart>
      <c:catAx>
        <c:axId val="12679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29584"/>
        <c:crosses val="autoZero"/>
        <c:auto val="1"/>
        <c:lblAlgn val="ctr"/>
        <c:lblOffset val="100"/>
        <c:noMultiLvlLbl val="0"/>
      </c:catAx>
      <c:valAx>
        <c:axId val="12679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32496"/>
        <c:crosses val="autoZero"/>
        <c:crossBetween val="between"/>
      </c:valAx>
      <c:valAx>
        <c:axId val="126793956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42064"/>
        <c:crosses val="max"/>
        <c:crossBetween val="between"/>
      </c:valAx>
      <c:catAx>
        <c:axId val="1267942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6793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  <cx:data id="1">
      <cx:strDim type="cat">
        <cx:f>_xlchart.v1.0</cx:f>
      </cx:strDim>
      <cx:numDim type="size">
        <cx:f>_xlchart.v1.4</cx:f>
      </cx:numDim>
    </cx:data>
  </cx:chartData>
  <cx:chart>
    <cx:plotArea>
      <cx:plotAreaRegion>
        <cx:series layoutId="treemap" uniqueId="{7EA71D80-B4CB-41BB-B5A4-ACC62A489E92}" formatIdx="0">
          <cx:tx>
            <cx:txData>
              <cx:f>_xlchart.v1.1</cx:f>
              <cx:v> Balance 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  <cx:series layoutId="treemap" hidden="1" uniqueId="{85EA78A7-92EB-4523-98B8-D779EEC2DD29}" formatIdx="1">
          <cx:tx>
            <cx:txData>
              <cx:f>_xlchart.v1.3</cx:f>
              <cx:v> Prop </cx:v>
            </cx:txData>
          </cx:tx>
          <cx:dataId val="1"/>
          <cx:layoutPr/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1</xdr:row>
      <xdr:rowOff>42862</xdr:rowOff>
    </xdr:from>
    <xdr:to>
      <xdr:col>14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312965</xdr:colOff>
      <xdr:row>16</xdr:row>
      <xdr:rowOff>91167</xdr:rowOff>
    </xdr:from>
    <xdr:to>
      <xdr:col>14</xdr:col>
      <xdr:colOff>557893</xdr:colOff>
      <xdr:row>30</xdr:row>
      <xdr:rowOff>167367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2276D26-9FB6-49C5-B388-7DB35D315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95250</xdr:colOff>
      <xdr:row>15</xdr:row>
      <xdr:rowOff>23132</xdr:rowOff>
    </xdr:from>
    <xdr:to>
      <xdr:col>22</xdr:col>
      <xdr:colOff>367393</xdr:colOff>
      <xdr:row>29</xdr:row>
      <xdr:rowOff>99332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D488503-7A7F-4DDF-8147-592693D901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71464" y="2880632"/>
              <a:ext cx="5687786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D11" totalsRowShown="0" headerRowBorderDxfId="10" tableBorderDxfId="9" totalsRowBorderDxfId="8">
  <autoFilter ref="B2:D11" xr:uid="{43361EA0-38CE-405F-999E-E678479A76FE}"/>
  <sortState xmlns:xlrd2="http://schemas.microsoft.com/office/spreadsheetml/2017/richdata2" ref="B3:C11">
    <sortCondition descending="1" ref="C3:C11"/>
  </sortState>
  <tableColumns count="3">
    <tableColumn id="1" xr3:uid="{5452176F-36B8-4CDD-9F33-5D70AA66A550}" name="Mercado" dataDxfId="7"/>
    <tableColumn id="3" xr3:uid="{AA88D4F0-70F9-4823-81E5-D366BE0621A3}" name="Balance" dataDxfId="6" dataCellStyle="Moneda">
      <calculatedColumnFormula>SUMIF(F:F,B3,H:H)</calculatedColumnFormula>
    </tableColumn>
    <tableColumn id="2" xr3:uid="{863A4A40-7E14-4485-AAD9-12FD76E33499}" name="Prop" dataDxfId="0" dataCellStyle="Porcentaje">
      <calculatedColumnFormula>Tabla3[[#This Row],[Balance]]/$C$12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F2:I15" totalsRowShown="0">
  <autoFilter ref="F2:I15" xr:uid="{E0EF1798-5DBC-4CC2-BF2B-D1627830BBD8}"/>
  <tableColumns count="4">
    <tableColumn id="1" xr3:uid="{D7244F53-013B-49D1-84D7-0E66C32F39B4}" name="Mercado"/>
    <tableColumn id="2" xr3:uid="{28786B65-FA4E-4DA6-9569-A775903889EB}" name="Fecha venta" dataDxfId="5"/>
    <tableColumn id="3" xr3:uid="{00894C4B-3E6A-4755-9F14-59B8AD97246A}" name="Balance" dataDxfId="4"/>
    <tableColumn id="4" xr3:uid="{2A5F1324-D18F-4866-A09B-AC0F8A8E977C}" name="Acumulado" dataDxfId="3">
      <calculatedColumnFormula>SUM($H$3:H3)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P2:R14" totalsRowShown="0">
  <autoFilter ref="P2:R14" xr:uid="{85052AB3-E623-41D6-B93A-D236D62ED596}"/>
  <tableColumns count="3">
    <tableColumn id="1" xr3:uid="{21FC16B9-6E5E-4AAD-BCF0-C6A776FA39F3}" name="Mes"/>
    <tableColumn id="2" xr3:uid="{37D9736B-4BBA-4113-BEB6-FB1048207595}" name="Balance" dataDxfId="2">
      <calculatedColumnFormula array="1">SUMPRODUCT(($G$3:$G$109&lt;&gt;"")*(TEXT($G$3:$G$109,"mmmm")=P3)*$H$3:$H$109)</calculatedColumnFormula>
    </tableColumn>
    <tableColumn id="3" xr3:uid="{5B181ADE-DC8F-4395-A0B1-0AC4441D7B3C}" name="Peso anual" dataDxfId="1" dataCellStyle="Porcentaje">
      <calculatedColumnFormula>IFERROR($Q3/SUM($Q$3:$Q$14),0)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opLeftCell="J1" zoomScaleNormal="100" workbookViewId="0">
      <pane ySplit="3" topLeftCell="A7" activePane="bottomLeft" state="frozen"/>
      <selection pane="bottomLeft" activeCell="A15" sqref="A15:K15"/>
    </sheetView>
  </sheetViews>
  <sheetFormatPr baseColWidth="10" defaultColWidth="8.7109375" defaultRowHeight="15" x14ac:dyDescent="0.25"/>
  <cols>
    <col min="1" max="1" width="12" customWidth="1"/>
    <col min="2" max="2" width="10.140625" bestFit="1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42" t="s">
        <v>0</v>
      </c>
      <c r="B1" s="42"/>
      <c r="C1" s="42"/>
      <c r="D1" s="42"/>
      <c r="E1" s="42"/>
      <c r="F1" s="42"/>
      <c r="G1" s="42"/>
      <c r="H1" s="42"/>
      <c r="I1" s="42"/>
    </row>
    <row r="2" spans="1:11" ht="15.75" customHeight="1" x14ac:dyDescent="0.25">
      <c r="A2" s="43" t="s">
        <v>1</v>
      </c>
      <c r="B2" s="43"/>
      <c r="C2" s="43"/>
      <c r="D2" s="43"/>
      <c r="E2" s="43"/>
      <c r="F2" s="43"/>
      <c r="G2" s="43"/>
      <c r="H2" s="43"/>
      <c r="I2" s="43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5">
        <v>46206</v>
      </c>
      <c r="C8" s="6">
        <v>100</v>
      </c>
      <c r="D8" s="7">
        <v>0</v>
      </c>
      <c r="E8" s="8">
        <f t="shared" si="0"/>
        <v>100</v>
      </c>
      <c r="F8" s="6">
        <v>525</v>
      </c>
      <c r="G8" s="9">
        <f>SUM($C$4:C8)</f>
        <v>506</v>
      </c>
      <c r="H8" s="9">
        <f t="shared" si="1"/>
        <v>19</v>
      </c>
      <c r="I8" s="10">
        <f t="shared" si="2"/>
        <v>3.7549407114624511E-2</v>
      </c>
      <c r="J8" s="9">
        <f>AVERAGE($E$4:E8)</f>
        <v>99.4</v>
      </c>
      <c r="K8" s="11"/>
    </row>
    <row r="9" spans="1:11" ht="18" customHeight="1" x14ac:dyDescent="0.25">
      <c r="A9" s="12">
        <v>6</v>
      </c>
      <c r="B9" s="5">
        <v>46236</v>
      </c>
      <c r="C9" s="6">
        <v>200</v>
      </c>
      <c r="D9" s="7">
        <v>0</v>
      </c>
      <c r="E9" s="8">
        <f t="shared" si="0"/>
        <v>200</v>
      </c>
      <c r="F9" s="6">
        <v>730</v>
      </c>
      <c r="G9" s="14">
        <f>SUM($C$4:C9)</f>
        <v>706</v>
      </c>
      <c r="H9" s="14">
        <f t="shared" si="1"/>
        <v>24</v>
      </c>
      <c r="I9" s="15">
        <f t="shared" si="2"/>
        <v>3.3994334277620331E-2</v>
      </c>
      <c r="J9" s="14">
        <f>AVERAGE($E$4:E9)</f>
        <v>116.16666666666667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706</v>
      </c>
      <c r="H10" s="9" t="str">
        <f t="shared" si="1"/>
        <v/>
      </c>
      <c r="I10" s="10" t="str">
        <f t="shared" si="2"/>
        <v/>
      </c>
      <c r="J10" s="9">
        <f>AVERAGE($E$4:E10)</f>
        <v>99.571428571428569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706</v>
      </c>
      <c r="H11" s="14" t="str">
        <f t="shared" si="1"/>
        <v/>
      </c>
      <c r="I11" s="15" t="str">
        <f t="shared" si="2"/>
        <v/>
      </c>
      <c r="J11" s="14">
        <f>AVERAGE($E$4:E11)</f>
        <v>87.125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706</v>
      </c>
      <c r="H12" s="9" t="str">
        <f t="shared" si="1"/>
        <v/>
      </c>
      <c r="I12" s="10" t="str">
        <f t="shared" si="2"/>
        <v/>
      </c>
      <c r="J12" s="9">
        <f>AVERAGE($E$4:E12)</f>
        <v>77.444444444444443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706</v>
      </c>
      <c r="H13" s="14" t="str">
        <f t="shared" si="1"/>
        <v/>
      </c>
      <c r="I13" s="15" t="str">
        <f t="shared" si="2"/>
        <v/>
      </c>
      <c r="J13" s="14">
        <f>AVERAGE($E$4:E13)</f>
        <v>69.7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706</v>
      </c>
      <c r="H14" s="9" t="str">
        <f t="shared" si="1"/>
        <v/>
      </c>
      <c r="I14" s="10" t="str">
        <f t="shared" si="2"/>
        <v/>
      </c>
      <c r="J14" s="9">
        <f>AVERAGE($E$4:E14)</f>
        <v>63.363636363636367</v>
      </c>
      <c r="K14" s="11"/>
    </row>
    <row r="15" spans="1:11" ht="18" customHeight="1" x14ac:dyDescent="0.25">
      <c r="A15" s="55">
        <v>12</v>
      </c>
      <c r="B15" s="56"/>
      <c r="C15" s="57"/>
      <c r="D15" s="58">
        <v>0</v>
      </c>
      <c r="E15" s="59">
        <f t="shared" si="0"/>
        <v>0</v>
      </c>
      <c r="F15" s="57"/>
      <c r="G15" s="60">
        <f>SUM($C$4:C15)</f>
        <v>706</v>
      </c>
      <c r="H15" s="60" t="str">
        <f t="shared" si="1"/>
        <v/>
      </c>
      <c r="I15" s="61" t="str">
        <f t="shared" si="2"/>
        <v/>
      </c>
      <c r="J15" s="60">
        <f>AVERAGE($E$4:E15)</f>
        <v>58.083333333333336</v>
      </c>
      <c r="K15" s="62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706</v>
      </c>
      <c r="H16" s="9" t="str">
        <f t="shared" si="1"/>
        <v/>
      </c>
      <c r="I16" s="10" t="str">
        <f t="shared" si="2"/>
        <v/>
      </c>
      <c r="J16" s="9">
        <f>AVERAGE($E$4:E16)</f>
        <v>53.615384615384613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706</v>
      </c>
      <c r="H17" s="14" t="str">
        <f t="shared" si="1"/>
        <v/>
      </c>
      <c r="I17" s="15" t="str">
        <f t="shared" si="2"/>
        <v/>
      </c>
      <c r="J17" s="14">
        <f>AVERAGE($E$4:E17)</f>
        <v>49.785714285714285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706</v>
      </c>
      <c r="H18" s="9" t="str">
        <f t="shared" si="1"/>
        <v/>
      </c>
      <c r="I18" s="10" t="str">
        <f t="shared" si="2"/>
        <v/>
      </c>
      <c r="J18" s="9">
        <f>AVERAGE($E$4:E18)</f>
        <v>46.466666666666669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706</v>
      </c>
      <c r="H19" s="14" t="str">
        <f t="shared" si="1"/>
        <v/>
      </c>
      <c r="I19" s="15" t="str">
        <f t="shared" si="2"/>
        <v/>
      </c>
      <c r="J19" s="14">
        <f>AVERAGE($E$4:E19)</f>
        <v>43.5625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706</v>
      </c>
      <c r="H20" s="9" t="str">
        <f t="shared" si="1"/>
        <v/>
      </c>
      <c r="I20" s="10" t="str">
        <f t="shared" si="2"/>
        <v/>
      </c>
      <c r="J20" s="9">
        <f>AVERAGE($E$4:E20)</f>
        <v>41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706</v>
      </c>
      <c r="H21" s="14" t="str">
        <f t="shared" si="1"/>
        <v/>
      </c>
      <c r="I21" s="15" t="str">
        <f t="shared" si="2"/>
        <v/>
      </c>
      <c r="J21" s="14">
        <f>AVERAGE($E$4:E21)</f>
        <v>38.722222222222221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706</v>
      </c>
      <c r="H22" s="9" t="str">
        <f t="shared" si="1"/>
        <v/>
      </c>
      <c r="I22" s="10" t="str">
        <f t="shared" si="2"/>
        <v/>
      </c>
      <c r="J22" s="9">
        <f>AVERAGE($E$4:E22)</f>
        <v>36.684210526315788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706</v>
      </c>
      <c r="H23" s="14" t="str">
        <f t="shared" si="1"/>
        <v/>
      </c>
      <c r="I23" s="15" t="str">
        <f t="shared" si="2"/>
        <v/>
      </c>
      <c r="J23" s="14">
        <f>AVERAGE($E$4:E23)</f>
        <v>34.85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706</v>
      </c>
      <c r="H24" s="9" t="str">
        <f t="shared" si="1"/>
        <v/>
      </c>
      <c r="I24" s="10" t="str">
        <f t="shared" si="2"/>
        <v/>
      </c>
      <c r="J24" s="9">
        <f>AVERAGE($E$4:E24)</f>
        <v>33.19047619047619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706</v>
      </c>
      <c r="H25" s="14" t="str">
        <f t="shared" si="1"/>
        <v/>
      </c>
      <c r="I25" s="15" t="str">
        <f t="shared" si="2"/>
        <v/>
      </c>
      <c r="J25" s="14">
        <f>AVERAGE($E$4:E25)</f>
        <v>31.681818181818183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706</v>
      </c>
      <c r="H26" s="9" t="str">
        <f t="shared" si="1"/>
        <v/>
      </c>
      <c r="I26" s="10" t="str">
        <f t="shared" si="2"/>
        <v/>
      </c>
      <c r="J26" s="9">
        <f>AVERAGE($E$4:E26)</f>
        <v>30.304347826086957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706</v>
      </c>
      <c r="H27" s="14" t="str">
        <f t="shared" si="1"/>
        <v/>
      </c>
      <c r="I27" s="15" t="str">
        <f t="shared" si="2"/>
        <v/>
      </c>
      <c r="J27" s="14">
        <f>AVERAGE($E$4:E27)</f>
        <v>29.041666666666668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706</v>
      </c>
      <c r="H28" s="9" t="str">
        <f t="shared" si="1"/>
        <v/>
      </c>
      <c r="I28" s="10" t="str">
        <f t="shared" si="2"/>
        <v/>
      </c>
      <c r="J28" s="9">
        <f>AVERAGE($E$4:E28)</f>
        <v>27.88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706</v>
      </c>
      <c r="H29" s="14" t="str">
        <f t="shared" si="1"/>
        <v/>
      </c>
      <c r="I29" s="15" t="str">
        <f t="shared" si="2"/>
        <v/>
      </c>
      <c r="J29" s="14">
        <f>AVERAGE($E$4:E29)</f>
        <v>26.807692307692307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706</v>
      </c>
      <c r="H30" s="9" t="str">
        <f t="shared" si="1"/>
        <v/>
      </c>
      <c r="I30" s="10" t="str">
        <f t="shared" si="2"/>
        <v/>
      </c>
      <c r="J30" s="9">
        <f>AVERAGE($E$4:E30)</f>
        <v>25.814814814814813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706</v>
      </c>
      <c r="H31" s="14" t="str">
        <f t="shared" si="1"/>
        <v/>
      </c>
      <c r="I31" s="15" t="str">
        <f t="shared" si="2"/>
        <v/>
      </c>
      <c r="J31" s="14">
        <f>AVERAGE($E$4:E31)</f>
        <v>24.892857142857142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706</v>
      </c>
      <c r="H32" s="9" t="str">
        <f t="shared" si="1"/>
        <v/>
      </c>
      <c r="I32" s="10" t="str">
        <f t="shared" si="2"/>
        <v/>
      </c>
      <c r="J32" s="9">
        <f>AVERAGE($E$4:E32)</f>
        <v>24.03448275862069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706</v>
      </c>
      <c r="H33" s="14" t="str">
        <f t="shared" si="1"/>
        <v/>
      </c>
      <c r="I33" s="15" t="str">
        <f t="shared" si="2"/>
        <v/>
      </c>
      <c r="J33" s="14">
        <f>AVERAGE($E$4:E33)</f>
        <v>23.233333333333334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706</v>
      </c>
      <c r="H34" s="9" t="str">
        <f t="shared" si="1"/>
        <v/>
      </c>
      <c r="I34" s="10" t="str">
        <f t="shared" si="2"/>
        <v/>
      </c>
      <c r="J34" s="9">
        <f>AVERAGE($E$4:E34)</f>
        <v>22.483870967741936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706</v>
      </c>
      <c r="H35" s="14" t="str">
        <f t="shared" si="1"/>
        <v/>
      </c>
      <c r="I35" s="15" t="str">
        <f t="shared" si="2"/>
        <v/>
      </c>
      <c r="J35" s="14">
        <f>AVERAGE($E$4:E35)</f>
        <v>21.78125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706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21.121212121212121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706</v>
      </c>
      <c r="H37" s="14" t="str">
        <f t="shared" si="4"/>
        <v/>
      </c>
      <c r="I37" s="15" t="str">
        <f t="shared" si="5"/>
        <v/>
      </c>
      <c r="J37" s="14">
        <f>AVERAGE($E$4:E37)</f>
        <v>20.5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706</v>
      </c>
      <c r="H38" s="9" t="str">
        <f t="shared" si="4"/>
        <v/>
      </c>
      <c r="I38" s="10" t="str">
        <f t="shared" si="5"/>
        <v/>
      </c>
      <c r="J38" s="9">
        <f>AVERAGE($E$4:E38)</f>
        <v>19.914285714285715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706</v>
      </c>
      <c r="H39" s="14" t="str">
        <f t="shared" si="4"/>
        <v/>
      </c>
      <c r="I39" s="15" t="str">
        <f t="shared" si="5"/>
        <v/>
      </c>
      <c r="J39" s="14">
        <f>AVERAGE($E$4:E39)</f>
        <v>19.361111111111111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706</v>
      </c>
      <c r="H40" s="9" t="str">
        <f t="shared" si="4"/>
        <v/>
      </c>
      <c r="I40" s="10" t="str">
        <f t="shared" si="5"/>
        <v/>
      </c>
      <c r="J40" s="9">
        <f>AVERAGE($E$4:E40)</f>
        <v>18.837837837837839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706</v>
      </c>
      <c r="H41" s="14" t="str">
        <f t="shared" si="4"/>
        <v/>
      </c>
      <c r="I41" s="15" t="str">
        <f t="shared" si="5"/>
        <v/>
      </c>
      <c r="J41" s="14">
        <f>AVERAGE($E$4:E41)</f>
        <v>18.342105263157894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706</v>
      </c>
      <c r="H42" s="9" t="str">
        <f t="shared" si="4"/>
        <v/>
      </c>
      <c r="I42" s="10" t="str">
        <f t="shared" si="5"/>
        <v/>
      </c>
      <c r="J42" s="9">
        <f>AVERAGE($E$4:E42)</f>
        <v>17.871794871794872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706</v>
      </c>
      <c r="H43" s="14" t="str">
        <f t="shared" si="4"/>
        <v/>
      </c>
      <c r="I43" s="15" t="str">
        <f t="shared" si="5"/>
        <v/>
      </c>
      <c r="J43" s="14">
        <f>AVERAGE($E$4:E43)</f>
        <v>17.425000000000001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706</v>
      </c>
      <c r="H44" s="9" t="str">
        <f t="shared" si="4"/>
        <v/>
      </c>
      <c r="I44" s="10" t="str">
        <f t="shared" si="5"/>
        <v/>
      </c>
      <c r="J44" s="9">
        <f>AVERAGE($E$4:E44)</f>
        <v>17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706</v>
      </c>
      <c r="H45" s="14" t="str">
        <f t="shared" si="4"/>
        <v/>
      </c>
      <c r="I45" s="15" t="str">
        <f t="shared" si="5"/>
        <v/>
      </c>
      <c r="J45" s="14">
        <f>AVERAGE($E$4:E45)</f>
        <v>16.595238095238095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706</v>
      </c>
      <c r="H46" s="9" t="str">
        <f t="shared" si="4"/>
        <v/>
      </c>
      <c r="I46" s="10" t="str">
        <f t="shared" si="5"/>
        <v/>
      </c>
      <c r="J46" s="9">
        <f>AVERAGE($E$4:E46)</f>
        <v>16.209302325581394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706</v>
      </c>
      <c r="H47" s="14" t="str">
        <f t="shared" si="4"/>
        <v/>
      </c>
      <c r="I47" s="15" t="str">
        <f t="shared" si="5"/>
        <v/>
      </c>
      <c r="J47" s="14">
        <f>AVERAGE($E$4:E47)</f>
        <v>15.840909090909092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706</v>
      </c>
      <c r="H48" s="9" t="str">
        <f t="shared" si="4"/>
        <v/>
      </c>
      <c r="I48" s="10" t="str">
        <f t="shared" si="5"/>
        <v/>
      </c>
      <c r="J48" s="9">
        <f>AVERAGE($E$4:E48)</f>
        <v>15.488888888888889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706</v>
      </c>
      <c r="H49" s="14" t="str">
        <f t="shared" si="4"/>
        <v/>
      </c>
      <c r="I49" s="15" t="str">
        <f t="shared" si="5"/>
        <v/>
      </c>
      <c r="J49" s="14">
        <f>AVERAGE($E$4:E49)</f>
        <v>15.152173913043478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706</v>
      </c>
      <c r="H50" s="9" t="str">
        <f t="shared" si="4"/>
        <v/>
      </c>
      <c r="I50" s="10" t="str">
        <f t="shared" si="5"/>
        <v/>
      </c>
      <c r="J50" s="9">
        <f>AVERAGE($E$4:E50)</f>
        <v>14.829787234042554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706</v>
      </c>
      <c r="H51" s="14" t="str">
        <f t="shared" si="4"/>
        <v/>
      </c>
      <c r="I51" s="15" t="str">
        <f t="shared" si="5"/>
        <v/>
      </c>
      <c r="J51" s="14">
        <f>AVERAGE($E$4:E51)</f>
        <v>14.520833333333334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706</v>
      </c>
      <c r="H52" s="9" t="str">
        <f t="shared" si="4"/>
        <v/>
      </c>
      <c r="I52" s="10" t="str">
        <f t="shared" si="5"/>
        <v/>
      </c>
      <c r="J52" s="9">
        <f>AVERAGE($E$4:E52)</f>
        <v>14.224489795918368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706</v>
      </c>
      <c r="H53" s="14" t="str">
        <f t="shared" si="4"/>
        <v/>
      </c>
      <c r="I53" s="15" t="str">
        <f t="shared" si="5"/>
        <v/>
      </c>
      <c r="J53" s="14">
        <f>AVERAGE($E$4:E53)</f>
        <v>13.94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706</v>
      </c>
      <c r="H54" s="9" t="str">
        <f t="shared" si="4"/>
        <v/>
      </c>
      <c r="I54" s="10" t="str">
        <f t="shared" si="5"/>
        <v/>
      </c>
      <c r="J54" s="9">
        <f>AVERAGE($E$4:E54)</f>
        <v>13.666666666666666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706</v>
      </c>
      <c r="H55" s="14" t="str">
        <f t="shared" si="4"/>
        <v/>
      </c>
      <c r="I55" s="15" t="str">
        <f t="shared" si="5"/>
        <v/>
      </c>
      <c r="J55" s="14">
        <f>AVERAGE($E$4:E55)</f>
        <v>13.403846153846153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706</v>
      </c>
      <c r="H56" s="9" t="str">
        <f t="shared" si="4"/>
        <v/>
      </c>
      <c r="I56" s="10" t="str">
        <f t="shared" si="5"/>
        <v/>
      </c>
      <c r="J56" s="9">
        <f>AVERAGE($E$4:E56)</f>
        <v>13.150943396226415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706</v>
      </c>
      <c r="H57" s="14" t="str">
        <f t="shared" si="4"/>
        <v/>
      </c>
      <c r="I57" s="15" t="str">
        <f t="shared" si="5"/>
        <v/>
      </c>
      <c r="J57" s="14">
        <f>AVERAGE($E$4:E57)</f>
        <v>12.907407407407407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706</v>
      </c>
      <c r="H58" s="9" t="str">
        <f t="shared" si="4"/>
        <v/>
      </c>
      <c r="I58" s="10" t="str">
        <f t="shared" si="5"/>
        <v/>
      </c>
      <c r="J58" s="9">
        <f>AVERAGE($E$4:E58)</f>
        <v>12.672727272727272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706</v>
      </c>
      <c r="H59" s="14" t="str">
        <f t="shared" si="4"/>
        <v/>
      </c>
      <c r="I59" s="15" t="str">
        <f t="shared" si="5"/>
        <v/>
      </c>
      <c r="J59" s="14">
        <f>AVERAGE($E$4:E59)</f>
        <v>12.446428571428571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706</v>
      </c>
      <c r="H60" s="9" t="str">
        <f t="shared" si="4"/>
        <v/>
      </c>
      <c r="I60" s="10" t="str">
        <f t="shared" si="5"/>
        <v/>
      </c>
      <c r="J60" s="9">
        <f>AVERAGE($E$4:E60)</f>
        <v>12.228070175438596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706</v>
      </c>
      <c r="H61" s="14" t="str">
        <f t="shared" si="4"/>
        <v/>
      </c>
      <c r="I61" s="15" t="str">
        <f t="shared" si="5"/>
        <v/>
      </c>
      <c r="J61" s="14">
        <f>AVERAGE($E$4:E61)</f>
        <v>12.017241379310345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706</v>
      </c>
      <c r="H62" s="9" t="str">
        <f t="shared" si="4"/>
        <v/>
      </c>
      <c r="I62" s="10" t="str">
        <f t="shared" si="5"/>
        <v/>
      </c>
      <c r="J62" s="9">
        <f>AVERAGE($E$4:E62)</f>
        <v>11.813559322033898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706</v>
      </c>
      <c r="H63" s="14" t="str">
        <f t="shared" si="4"/>
        <v/>
      </c>
      <c r="I63" s="15" t="str">
        <f t="shared" si="5"/>
        <v/>
      </c>
      <c r="J63" s="14">
        <f>AVERAGE($E$4:E63)</f>
        <v>11.616666666666667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F6" sqref="F6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44" t="s">
        <v>14</v>
      </c>
      <c r="B1" s="44"/>
      <c r="C1" s="44"/>
      <c r="D1" s="44"/>
      <c r="E1" s="44"/>
    </row>
    <row r="2" spans="1:7" ht="13.5" customHeight="1" x14ac:dyDescent="0.25">
      <c r="A2" s="43" t="s">
        <v>15</v>
      </c>
      <c r="B2" s="43"/>
      <c r="C2" s="43"/>
      <c r="D2" s="43"/>
      <c r="E2" s="43"/>
    </row>
    <row r="3" spans="1:7" ht="21.75" customHeight="1" x14ac:dyDescent="0.25">
      <c r="A3" s="45" t="s">
        <v>16</v>
      </c>
      <c r="B3" s="45"/>
      <c r="D3" s="45" t="s">
        <v>17</v>
      </c>
      <c r="E3" s="45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706</v>
      </c>
      <c r="D4" s="46" t="s">
        <v>21</v>
      </c>
      <c r="E4" s="46"/>
    </row>
    <row r="5" spans="1:7" ht="18" customHeight="1" x14ac:dyDescent="0.25">
      <c r="A5" s="17" t="s">
        <v>22</v>
      </c>
      <c r="B5" s="18">
        <f ca="1">OFFSET(Registro_Mensual!F3,COUNTA(Registro_Mensual!F4:F63),0)</f>
        <v>730</v>
      </c>
      <c r="D5" s="17" t="s">
        <v>23</v>
      </c>
      <c r="E5" s="18">
        <f>B8</f>
        <v>116.16666666666667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24</v>
      </c>
      <c r="D6" s="17" t="s">
        <v>25</v>
      </c>
      <c r="E6" s="20">
        <v>7.0000000000000007E-2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3.3994334277620331E-2</v>
      </c>
      <c r="D7" s="17" t="s">
        <v>27</v>
      </c>
      <c r="E7" s="18">
        <f>E5*((1+E6/12)^60-1)/(E6/12)</f>
        <v>8316.7087414557391</v>
      </c>
      <c r="F7" s="23">
        <f>E5*60</f>
        <v>6970</v>
      </c>
      <c r="G7" s="23">
        <f>E7-F7</f>
        <v>1346.7087414557391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116.16666666666667</v>
      </c>
      <c r="D8" s="17" t="s">
        <v>29</v>
      </c>
      <c r="E8" s="18">
        <f>E5*((1+E6/12)^120-1)/(E6/12)</f>
        <v>20106.685130195863</v>
      </c>
      <c r="F8" s="23">
        <f>E5*120</f>
        <v>13940</v>
      </c>
      <c r="G8" s="23">
        <f>E8-F8</f>
        <v>6166.6851301958632</v>
      </c>
    </row>
    <row r="9" spans="1:7" ht="18" customHeight="1" x14ac:dyDescent="0.25">
      <c r="A9" s="17" t="s">
        <v>30</v>
      </c>
      <c r="B9" s="22">
        <f>COUNTIF(Registro_Mensual!C4:C63,"&gt;0")</f>
        <v>6</v>
      </c>
      <c r="D9" s="17" t="s">
        <v>31</v>
      </c>
      <c r="E9" s="18">
        <f>E5*((1+E6/12)^240-1)/(E6/12)</f>
        <v>60514.313649730873</v>
      </c>
      <c r="F9" s="23">
        <f>E5*240</f>
        <v>27880</v>
      </c>
      <c r="G9" s="23">
        <f>E9-F9</f>
        <v>32634.313649730873</v>
      </c>
    </row>
    <row r="10" spans="1:7" ht="18" customHeight="1" x14ac:dyDescent="0.25">
      <c r="A10" s="49" t="s">
        <v>32</v>
      </c>
      <c r="B10" s="49"/>
      <c r="D10" s="17" t="s">
        <v>33</v>
      </c>
      <c r="E10" s="18">
        <f>E5*((1+E6/12)^360-1)/(E6/12)</f>
        <v>141719.96400930526</v>
      </c>
      <c r="F10" s="23">
        <f>E5*360</f>
        <v>41820</v>
      </c>
      <c r="G10" s="23">
        <f>E10-F10</f>
        <v>99899.964009305259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304915.82310639165</v>
      </c>
      <c r="F11" s="23">
        <f>E5*480</f>
        <v>55760</v>
      </c>
      <c r="G11" s="23">
        <f>E11-F11</f>
        <v>249155.82310639165</v>
      </c>
    </row>
    <row r="12" spans="1:7" ht="15" customHeight="1" x14ac:dyDescent="0.25">
      <c r="D12" s="50" t="s">
        <v>34</v>
      </c>
      <c r="E12" s="50"/>
    </row>
    <row r="13" spans="1:7" ht="21.75" customHeight="1" x14ac:dyDescent="0.25">
      <c r="A13" s="51" t="s">
        <v>35</v>
      </c>
      <c r="B13" s="51"/>
      <c r="C13" s="51"/>
      <c r="D13" s="51"/>
      <c r="E13" s="51"/>
    </row>
    <row r="14" spans="1:7" ht="21.75" customHeight="1" x14ac:dyDescent="0.25">
      <c r="A14" s="47" t="s">
        <v>36</v>
      </c>
      <c r="B14" s="47"/>
      <c r="C14" s="47"/>
      <c r="D14" s="47"/>
      <c r="E14" s="47"/>
    </row>
    <row r="15" spans="1:7" ht="21.75" customHeight="1" x14ac:dyDescent="0.25">
      <c r="A15" s="48" t="s">
        <v>37</v>
      </c>
      <c r="B15" s="48"/>
      <c r="C15" s="48"/>
      <c r="D15" s="48"/>
      <c r="E15" s="48"/>
    </row>
    <row r="16" spans="1:7" ht="21.75" customHeight="1" x14ac:dyDescent="0.25">
      <c r="A16" s="47" t="s">
        <v>38</v>
      </c>
      <c r="B16" s="47"/>
      <c r="C16" s="47"/>
      <c r="D16" s="47"/>
      <c r="E16" s="47"/>
    </row>
    <row r="17" spans="1:5" ht="21.75" customHeight="1" x14ac:dyDescent="0.25">
      <c r="A17" s="48" t="s">
        <v>39</v>
      </c>
      <c r="B17" s="48"/>
      <c r="C17" s="48"/>
      <c r="D17" s="48"/>
      <c r="E17" s="48"/>
    </row>
    <row r="18" spans="1:5" ht="21.75" customHeight="1" x14ac:dyDescent="0.25">
      <c r="A18" s="47" t="s">
        <v>40</v>
      </c>
      <c r="B18" s="47"/>
      <c r="C18" s="47"/>
      <c r="D18" s="47"/>
      <c r="E18" s="47"/>
    </row>
  </sheetData>
  <mergeCells count="13">
    <mergeCell ref="A16:E16"/>
    <mergeCell ref="A17:E17"/>
    <mergeCell ref="A18:E18"/>
    <mergeCell ref="A10:B10"/>
    <mergeCell ref="D12:E12"/>
    <mergeCell ref="A13:E13"/>
    <mergeCell ref="A14:E14"/>
    <mergeCell ref="A15:E15"/>
    <mergeCell ref="A1:E1"/>
    <mergeCell ref="A2:E2"/>
    <mergeCell ref="A3:B3"/>
    <mergeCell ref="D3:E3"/>
    <mergeCell ref="D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R15"/>
  <sheetViews>
    <sheetView showGridLines="0" tabSelected="1" zoomScale="70" zoomScaleNormal="70" workbookViewId="0">
      <selection activeCell="I15" sqref="I15"/>
    </sheetView>
  </sheetViews>
  <sheetFormatPr baseColWidth="10" defaultRowHeight="15" x14ac:dyDescent="0.25"/>
  <cols>
    <col min="2" max="2" width="12" customWidth="1"/>
    <col min="3" max="4" width="13.42578125" style="25" customWidth="1"/>
    <col min="6" max="6" width="12.7109375" bestFit="1" customWidth="1"/>
    <col min="7" max="7" width="13.7109375" customWidth="1"/>
    <col min="8" max="8" width="11.42578125" style="32"/>
    <col min="17" max="17" width="11.42578125" style="40"/>
    <col min="18" max="18" width="12.7109375" style="39" customWidth="1"/>
  </cols>
  <sheetData>
    <row r="1" spans="2:18" x14ac:dyDescent="0.25">
      <c r="B1" s="52" t="s">
        <v>50</v>
      </c>
      <c r="C1" s="52"/>
      <c r="D1" s="41"/>
      <c r="F1" s="52" t="s">
        <v>47</v>
      </c>
      <c r="G1" s="52"/>
      <c r="H1" s="52"/>
      <c r="I1" s="52"/>
    </row>
    <row r="2" spans="2:18" x14ac:dyDescent="0.25">
      <c r="B2" s="30" t="s">
        <v>46</v>
      </c>
      <c r="C2" s="31" t="s">
        <v>48</v>
      </c>
      <c r="D2" s="53" t="s">
        <v>72</v>
      </c>
      <c r="F2" t="s">
        <v>46</v>
      </c>
      <c r="G2" t="s">
        <v>49</v>
      </c>
      <c r="H2" s="32" t="s">
        <v>48</v>
      </c>
      <c r="I2" t="s">
        <v>53</v>
      </c>
      <c r="P2" t="s">
        <v>2</v>
      </c>
      <c r="Q2" s="40" t="s">
        <v>48</v>
      </c>
      <c r="R2" s="39" t="s">
        <v>54</v>
      </c>
    </row>
    <row r="3" spans="2:18" x14ac:dyDescent="0.25">
      <c r="B3" s="26" t="s">
        <v>42</v>
      </c>
      <c r="C3" s="27">
        <f>SUMIF(F:F,B3,H:H)</f>
        <v>131</v>
      </c>
      <c r="D3" s="54">
        <f>Tabla3[[#This Row],[Balance]]/$C$12</f>
        <v>0.14008447842592098</v>
      </c>
      <c r="F3" t="s">
        <v>45</v>
      </c>
      <c r="G3" s="24">
        <v>46218</v>
      </c>
      <c r="H3" s="32">
        <v>8</v>
      </c>
      <c r="I3" s="32">
        <f>SUM($H$3:H3)</f>
        <v>8</v>
      </c>
      <c r="P3" t="s">
        <v>55</v>
      </c>
      <c r="Q3" s="40">
        <f t="array" ref="Q3">SUMPRODUCT(($G$3:$G$109&lt;&gt;"")*(TEXT($G$3:$G$109,"mmmm")=P3)*$H$3:$H$109)</f>
        <v>0</v>
      </c>
      <c r="R3" s="39">
        <f t="shared" ref="R3:R14" si="0">IFERROR($Q3/SUM($Q$3:$Q$14),0)</f>
        <v>0</v>
      </c>
    </row>
    <row r="4" spans="2:18" x14ac:dyDescent="0.25">
      <c r="B4" s="26" t="s">
        <v>44</v>
      </c>
      <c r="C4" s="27">
        <f>SUMIF(F:F,B4,H:H)</f>
        <v>53.4</v>
      </c>
      <c r="D4" s="54">
        <f>Tabla3[[#This Row],[Balance]]/$C$12</f>
        <v>5.7103138533925041E-2</v>
      </c>
      <c r="F4" t="s">
        <v>45</v>
      </c>
      <c r="G4" s="24">
        <v>46219</v>
      </c>
      <c r="H4" s="32">
        <v>7.88</v>
      </c>
      <c r="I4" s="32">
        <f>SUM($H$3:H4)</f>
        <v>15.879999999999999</v>
      </c>
      <c r="P4" t="s">
        <v>56</v>
      </c>
      <c r="Q4" s="40">
        <f t="array" ref="Q4">SUMPRODUCT(($G$3:$G$109&lt;&gt;"")*(TEXT($G$3:$G$109,"mmmm")=P4)*$H$3:$H$109)</f>
        <v>0</v>
      </c>
      <c r="R4" s="39">
        <f t="shared" si="0"/>
        <v>0</v>
      </c>
    </row>
    <row r="5" spans="2:18" x14ac:dyDescent="0.25">
      <c r="B5" s="26" t="s">
        <v>45</v>
      </c>
      <c r="C5" s="27">
        <f>SUMIF(F:F,B5,H:H)</f>
        <v>15.879999999999999</v>
      </c>
      <c r="D5" s="54">
        <f>Tabla3[[#This Row],[Balance]]/$C$12</f>
        <v>1.6981232957279581E-2</v>
      </c>
      <c r="F5" t="s">
        <v>44</v>
      </c>
      <c r="G5" s="24">
        <v>46220</v>
      </c>
      <c r="H5" s="32">
        <v>19.399999999999999</v>
      </c>
      <c r="I5" s="32">
        <f>SUM($H$3:H5)</f>
        <v>35.28</v>
      </c>
      <c r="P5" t="s">
        <v>57</v>
      </c>
      <c r="Q5" s="40">
        <f t="array" ref="Q5">SUMPRODUCT(($G$3:$G$109&lt;&gt;"")*(TEXT($G$3:$G$109,"mmmm")=P5)*$H$3:$H$109)</f>
        <v>0</v>
      </c>
      <c r="R5" s="39">
        <f t="shared" si="0"/>
        <v>0</v>
      </c>
    </row>
    <row r="6" spans="2:18" x14ac:dyDescent="0.25">
      <c r="B6" s="26" t="s">
        <v>67</v>
      </c>
      <c r="C6" s="27">
        <f>SUMIF(F:F,B6,H:H)</f>
        <v>51</v>
      </c>
      <c r="D6" s="54">
        <f>Tabla3[[#This Row],[Balance]]/$C$12</f>
        <v>5.4536705341389081E-2</v>
      </c>
      <c r="F6" t="s">
        <v>42</v>
      </c>
      <c r="G6" s="24">
        <v>46232</v>
      </c>
      <c r="H6" s="32">
        <v>131</v>
      </c>
      <c r="I6" s="32">
        <f>SUM($H$3:H6)</f>
        <v>166.28</v>
      </c>
      <c r="P6" t="s">
        <v>58</v>
      </c>
      <c r="Q6" s="40">
        <f t="array" ref="Q6">SUMPRODUCT(($G$3:$G$109&lt;&gt;"")*(TEXT($G$3:$G$109,"mmmm")=P6)*$H$3:$H$109)</f>
        <v>0</v>
      </c>
      <c r="R6" s="39">
        <f t="shared" si="0"/>
        <v>0</v>
      </c>
    </row>
    <row r="7" spans="2:18" x14ac:dyDescent="0.25">
      <c r="B7" s="26" t="s">
        <v>68</v>
      </c>
      <c r="C7" s="27">
        <f>SUMIF(F:F,B7,H:H)</f>
        <v>407.14</v>
      </c>
      <c r="D7" s="54">
        <f>Tabla3[[#This Row],[Balance]]/$C$12</f>
        <v>0.43537400417045391</v>
      </c>
      <c r="F7" t="s">
        <v>44</v>
      </c>
      <c r="G7" s="24">
        <v>46234</v>
      </c>
      <c r="H7" s="32">
        <v>34</v>
      </c>
      <c r="I7" s="32">
        <f>SUM($H$3:H7)</f>
        <v>200.28</v>
      </c>
      <c r="P7" t="s">
        <v>59</v>
      </c>
      <c r="Q7" s="40">
        <f t="array" ref="Q7">SUMPRODUCT(($G$3:$G$109&lt;&gt;"")*(TEXT($G$3:$G$109,"mmmm")=P7)*$H$3:$H$109)</f>
        <v>0</v>
      </c>
      <c r="R7" s="39">
        <f t="shared" si="0"/>
        <v>0</v>
      </c>
    </row>
    <row r="8" spans="2:18" x14ac:dyDescent="0.25">
      <c r="B8" s="26" t="s">
        <v>69</v>
      </c>
      <c r="C8" s="27">
        <f>SUMIF(F:F,B8,H:H)</f>
        <v>6</v>
      </c>
      <c r="D8" s="54">
        <f>Tabla3[[#This Row],[Balance]]/$C$12</f>
        <v>6.4160829813398922E-3</v>
      </c>
      <c r="F8" t="s">
        <v>67</v>
      </c>
      <c r="G8" s="24">
        <v>46254</v>
      </c>
      <c r="H8" s="32">
        <v>51</v>
      </c>
      <c r="I8" s="32">
        <f>SUM($H$3:H8)</f>
        <v>251.28</v>
      </c>
      <c r="P8" t="s">
        <v>60</v>
      </c>
      <c r="Q8" s="40">
        <f t="array" ref="Q8">SUMPRODUCT(($G$3:$G$109&lt;&gt;"")*(TEXT($G$3:$G$109,"mmmm")=P8)*$H$3:$H$109)</f>
        <v>0</v>
      </c>
      <c r="R8" s="39">
        <f t="shared" si="0"/>
        <v>0</v>
      </c>
    </row>
    <row r="9" spans="2:18" x14ac:dyDescent="0.25">
      <c r="B9" s="26" t="s">
        <v>70</v>
      </c>
      <c r="C9" s="27">
        <f>SUMIF(F:F,B9,H:H)</f>
        <v>79.64</v>
      </c>
      <c r="D9" s="54">
        <f>Tabla3[[#This Row],[Balance]]/$C$12</f>
        <v>8.5162808105651508E-2</v>
      </c>
      <c r="F9" t="s">
        <v>68</v>
      </c>
      <c r="G9" s="24">
        <v>46260</v>
      </c>
      <c r="H9" s="32">
        <v>29.53</v>
      </c>
      <c r="I9" s="32">
        <f>SUM($H$3:H9)</f>
        <v>280.81</v>
      </c>
      <c r="P9" t="s">
        <v>61</v>
      </c>
      <c r="Q9" s="40">
        <f t="array" ref="Q9">SUMPRODUCT(($G$3:$G$109&lt;&gt;"")*(TEXT($G$3:$G$109,"mmmm")=P9)*$H$3:$H$109)</f>
        <v>200.28</v>
      </c>
      <c r="R9" s="39">
        <f t="shared" si="0"/>
        <v>0.21416884991712562</v>
      </c>
    </row>
    <row r="10" spans="2:18" x14ac:dyDescent="0.25">
      <c r="B10" s="26" t="s">
        <v>71</v>
      </c>
      <c r="C10" s="27">
        <f>SUMIF(F:F,B10,H:H)</f>
        <v>191.09</v>
      </c>
      <c r="D10" s="54">
        <f>Tabla3[[#This Row],[Balance]]/$C$12</f>
        <v>0.20434154948404001</v>
      </c>
      <c r="F10" t="s">
        <v>68</v>
      </c>
      <c r="G10" s="24">
        <v>46261</v>
      </c>
      <c r="H10" s="32">
        <v>377.61</v>
      </c>
      <c r="I10" s="32">
        <f>SUM($H$3:H10)</f>
        <v>658.42000000000007</v>
      </c>
      <c r="P10" t="s">
        <v>62</v>
      </c>
      <c r="Q10" s="40">
        <f t="array" ref="Q10">SUMPRODUCT(($G$3:$G$109&lt;&gt;"")*(TEXT($G$3:$G$109,"mmmm")=P10)*$H$3:$H$109)</f>
        <v>695.4799999999999</v>
      </c>
      <c r="R10" s="39">
        <f t="shared" si="0"/>
        <v>0.74370956531037802</v>
      </c>
    </row>
    <row r="11" spans="2:18" x14ac:dyDescent="0.25">
      <c r="B11" s="28"/>
      <c r="C11" s="29">
        <f>SUMIF(F:F,B11,H:H)</f>
        <v>0</v>
      </c>
      <c r="D11" s="54">
        <f>Tabla3[[#This Row],[Balance]]/$C$12</f>
        <v>0</v>
      </c>
      <c r="F11" t="s">
        <v>69</v>
      </c>
      <c r="G11" s="24">
        <v>46262</v>
      </c>
      <c r="H11" s="32">
        <v>6</v>
      </c>
      <c r="I11" s="32">
        <f>SUM($H$3:H11)</f>
        <v>664.42000000000007</v>
      </c>
      <c r="P11" t="s">
        <v>63</v>
      </c>
      <c r="Q11" s="40">
        <f t="array" ref="Q11">SUMPRODUCT(($G$3:$G$109&lt;&gt;"")*(TEXT($G$3:$G$109,"mmmm")=P11)*$H$3:$H$109)</f>
        <v>39.39</v>
      </c>
      <c r="R11" s="39">
        <f t="shared" si="0"/>
        <v>4.2121584772496397E-2</v>
      </c>
    </row>
    <row r="12" spans="2:18" x14ac:dyDescent="0.25">
      <c r="B12" s="37" t="s">
        <v>43</v>
      </c>
      <c r="C12" s="38">
        <f>SUM(C3:C11)</f>
        <v>935.15</v>
      </c>
      <c r="D12"/>
      <c r="F12" t="s">
        <v>70</v>
      </c>
      <c r="G12" s="24">
        <v>46262</v>
      </c>
      <c r="H12" s="32">
        <v>40.25</v>
      </c>
      <c r="I12" s="32">
        <f>SUM($H$3:H12)</f>
        <v>704.67000000000007</v>
      </c>
      <c r="P12" t="s">
        <v>64</v>
      </c>
      <c r="Q12" s="40">
        <f t="array" ref="Q12">SUMPRODUCT(($G$3:$G$109&lt;&gt;"")*(TEXT($G$3:$G$109,"mmmm")=P12)*$H$3:$H$109)</f>
        <v>0</v>
      </c>
      <c r="R12" s="39">
        <f t="shared" si="0"/>
        <v>0</v>
      </c>
    </row>
    <row r="13" spans="2:18" x14ac:dyDescent="0.25">
      <c r="B13" s="34" t="s">
        <v>51</v>
      </c>
      <c r="C13" s="33">
        <f>C12*0.19*-1</f>
        <v>-177.67849999999999</v>
      </c>
      <c r="D13"/>
      <c r="F13" t="s">
        <v>71</v>
      </c>
      <c r="G13" s="24">
        <v>46262</v>
      </c>
      <c r="H13" s="32">
        <f>43.58+23.35</f>
        <v>66.930000000000007</v>
      </c>
      <c r="I13" s="32">
        <f>SUM($H$3:H13)</f>
        <v>771.60000000000014</v>
      </c>
      <c r="P13" t="s">
        <v>65</v>
      </c>
      <c r="Q13" s="40">
        <f t="array" ref="Q13">SUMPRODUCT(($G$3:$G$109&lt;&gt;"")*(TEXT($G$3:$G$109,"mmmm")=P13)*$H$3:$H$109)</f>
        <v>0</v>
      </c>
      <c r="R13" s="39">
        <f t="shared" si="0"/>
        <v>0</v>
      </c>
    </row>
    <row r="14" spans="2:18" x14ac:dyDescent="0.25">
      <c r="B14" s="35" t="s">
        <v>52</v>
      </c>
      <c r="C14" s="36">
        <f>C12+C13</f>
        <v>757.47149999999999</v>
      </c>
      <c r="D14"/>
      <c r="F14" t="s">
        <v>71</v>
      </c>
      <c r="G14" s="24">
        <v>46265</v>
      </c>
      <c r="H14" s="32">
        <f>47.38+80.22-3.44</f>
        <v>124.16</v>
      </c>
      <c r="I14" s="32">
        <f>SUM($H$3:H14)</f>
        <v>895.7600000000001</v>
      </c>
      <c r="P14" t="s">
        <v>66</v>
      </c>
      <c r="Q14" s="40">
        <f t="array" ref="Q14">SUMPRODUCT(($G$3:$G$109&lt;&gt;"")*(TEXT($G$3:$G$109,"mmmm")=P14)*$H$3:$H$109)</f>
        <v>0</v>
      </c>
      <c r="R14" s="39">
        <f t="shared" si="0"/>
        <v>0</v>
      </c>
    </row>
    <row r="15" spans="2:18" x14ac:dyDescent="0.25">
      <c r="D15"/>
      <c r="F15" t="s">
        <v>70</v>
      </c>
      <c r="G15" s="24">
        <v>46267</v>
      </c>
      <c r="H15" s="32">
        <v>39.39</v>
      </c>
      <c r="I15" s="32">
        <f>SUM($H$3:H15)</f>
        <v>935.15000000000009</v>
      </c>
    </row>
  </sheetData>
  <mergeCells count="2">
    <mergeCell ref="B1:C1"/>
    <mergeCell ref="F1:I1"/>
  </mergeCells>
  <phoneticPr fontId="16" type="noConversion"/>
  <conditionalFormatting sqref="C3:D1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6:D1048576 C15 C3:D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:D2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:D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conditionalFormatting sqref="D3:D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C3:D11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C16:D1048576 C15 C3:D11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0</cp:revision>
  <dcterms:created xsi:type="dcterms:W3CDTF">2026-04-04T10:11:19Z</dcterms:created>
  <dcterms:modified xsi:type="dcterms:W3CDTF">2026-09-02T18:27:12Z</dcterms:modified>
  <dc:language>en-US</dc:language>
</cp:coreProperties>
</file>