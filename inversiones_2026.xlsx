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"/>
    </mc:Choice>
  </mc:AlternateContent>
  <xr:revisionPtr revIDLastSave="0" documentId="13_ncr:1_{BB47D6BB-FC82-4035-85E4-CEC99B33E526}" xr6:coauthVersionLast="47" xr6:coauthVersionMax="47" xr10:uidLastSave="{00000000-0000-0000-0000-000000000000}"/>
  <bookViews>
    <workbookView xWindow="-120" yWindow="-120" windowWidth="20640" windowHeight="11040" tabRatio="500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3" i="3"/>
  <c r="P4" i="3" a="1"/>
  <c r="P4" i="3" s="1"/>
  <c r="P5" i="3" a="1"/>
  <c r="P5" i="3" s="1"/>
  <c r="P6" i="3" a="1"/>
  <c r="P6" i="3" s="1"/>
  <c r="P7" i="3" a="1"/>
  <c r="P7" i="3" s="1"/>
  <c r="P8" i="3" a="1"/>
  <c r="P8" i="3" s="1"/>
  <c r="P9" i="3" a="1"/>
  <c r="P9" i="3" s="1"/>
  <c r="P10" i="3" a="1"/>
  <c r="P10" i="3" s="1"/>
  <c r="P11" i="3" a="1"/>
  <c r="P11" i="3" s="1"/>
  <c r="P12" i="3" a="1"/>
  <c r="P12" i="3" s="1"/>
  <c r="P13" i="3" a="1"/>
  <c r="P13" i="3" s="1"/>
  <c r="P14" i="3" a="1"/>
  <c r="P14" i="3" s="1"/>
  <c r="P3" i="3" a="1"/>
  <c r="P3" i="3" s="1"/>
  <c r="H3" i="3"/>
  <c r="H4" i="3"/>
  <c r="H5" i="3"/>
  <c r="H6" i="3"/>
  <c r="C4" i="3"/>
  <c r="C5" i="3"/>
  <c r="C6" i="3"/>
  <c r="C7" i="3"/>
  <c r="C8" i="3"/>
  <c r="C9" i="3"/>
  <c r="C10" i="3"/>
  <c r="C11" i="3"/>
  <c r="C3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C12" i="3" l="1"/>
  <c r="H4" i="1"/>
  <c r="H5" i="1"/>
  <c r="J7" i="1"/>
  <c r="H6" i="1"/>
  <c r="J62" i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C13" i="3" l="1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<sst xmlns="http://schemas.openxmlformats.org/spreadsheetml/2006/main" count="75" uniqueCount="67">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</sst>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51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0" fontId="0" fillId="0" borderId="7" xfId="0" applyBorder="1"/>
    <xf numFmtId="166" fontId="0" fillId="0" borderId="8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12" borderId="0" xfId="0" applyFill="1" applyAlignment="1">
      <alignment horizontal="center"/>
    </xf>
    <xf numFmtId="9" fontId="0" fillId="0" borderId="0" xfId="2" applyFont="1"/>
  </cellXfs>
  <cellStyles count="3">
    <cellStyle name="Moneda" xfId="1" builtinId="4"/>
    <cellStyle name="Normal" xfId="0" builtinId="0"/>
    <cellStyle name="Porcentaje" xfId="2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bolsa'!$G$2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bolsa'!$E$3:$F$6</c:f>
              <c:multiLvlStrCache>
                <c:ptCount val="4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</c:lvl>
              </c:multiLvlStrCache>
            </c:multiLvlStrRef>
          </c:cat>
          <c:val>
            <c:numRef>
              <c:f>'Beneficios bolsa'!$G$3:$G$6</c:f>
              <c:numCache>
                <c:formatCode>_-* #,##0.00\ [$€-C0A]_-;\-* #,##0.00\ [$€-C0A]_-;_-* "-"??\ [$€-C0A]_-;_-@_-</c:formatCode>
                <c:ptCount val="4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bolsa'!$H$2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bolsa'!$E$3:$F$6</c:f>
              <c:multiLvlStrCache>
                <c:ptCount val="4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</c:lvl>
              </c:multiLvlStrCache>
            </c:multiLvlStrRef>
          </c:cat>
          <c:val>
            <c:numRef>
              <c:f>'Beneficios bolsa'!$H$3:$H$6</c:f>
              <c:numCache>
                <c:formatCode>_-* #,##0.00\ [$€-C0A]_-;\-* #,##0.00\ [$€-C0A]_-;_-* "-"??\ [$€-C0A]_-;_-@_-</c:formatCode>
                <c:ptCount val="4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'Beneficios bolsa'!$P$2</c:f>
              <c:strCache>
                <c:ptCount val="1"/>
                <c:pt idx="0">
                  <c:v>Balance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bolsa'!$P$3:$P$14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166.28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7-4125-AE2C-A6A201B90E4A}"/>
            </c:ext>
          </c:extLst>
        </c:ser>
        <c:ser>
          <c:idx val="1"/>
          <c:order val="1"/>
          <c:tx>
            <c:strRef>
              <c:f>'Beneficios bolsa'!$Q$2</c:f>
              <c:strCache>
                <c:ptCount val="1"/>
                <c:pt idx="0">
                  <c:v>Peso anual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7-4125-AE2C-A6A201B90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42862</xdr:rowOff>
    </xdr:from>
    <xdr:to>
      <xdr:col>13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281669</xdr:colOff>
      <xdr:row>0</xdr:row>
      <xdr:rowOff>178973</xdr:rowOff>
    </xdr:from>
    <xdr:to>
      <xdr:col>20</xdr:col>
      <xdr:colOff>706771</xdr:colOff>
      <xdr:row>14</xdr:row>
      <xdr:rowOff>6403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76C996-5C27-483C-9405-D831259AB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C11" totalsRowShown="0" headerRowBorderDxfId="8" tableBorderDxfId="7" totalsRowBorderDxfId="6">
  <autoFilter ref="B2:C11" xr:uid="{43361EA0-38CE-405F-999E-E678479A76FE}"/>
  <sortState xmlns:xlrd2="http://schemas.microsoft.com/office/spreadsheetml/2017/richdata2" ref="B3:C11">
    <sortCondition descending="1" ref="C3:C11"/>
  </sortState>
  <tableColumns count="2">
    <tableColumn id="1" xr3:uid="{5452176F-36B8-4CDD-9F33-5D70AA66A550}" name="Mercado" dataDxfId="5"/>
    <tableColumn id="3" xr3:uid="{AA88D4F0-70F9-4823-81E5-D366BE0621A3}" name="Balance" dataDxfId="4" dataCellStyle="Moneda">
      <calculatedColumnFormula>SUMIF(E:E,B3,G:G)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E2:H6" totalsRowShown="0">
  <autoFilter ref="E2:H6" xr:uid="{E0EF1798-5DBC-4CC2-BF2B-D1627830BBD8}"/>
  <tableColumns count="4">
    <tableColumn id="1" xr3:uid="{D7244F53-013B-49D1-84D7-0E66C32F39B4}" name="Mercado"/>
    <tableColumn id="2" xr3:uid="{28786B65-FA4E-4DA6-9569-A775903889EB}" name="Fecha venta" dataDxfId="3"/>
    <tableColumn id="3" xr3:uid="{00894C4B-3E6A-4755-9F14-59B8AD97246A}" name="Balance" dataDxfId="2"/>
    <tableColumn id="4" xr3:uid="{2A5F1324-D18F-4866-A09B-AC0F8A8E977C}" name="Acumulado" dataDxfId="1">
      <calculatedColumnFormula>SUM($G$3:G3)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O2:Q14" totalsRowShown="0">
  <autoFilter ref="O2:Q14" xr:uid="{85052AB3-E623-41D6-B93A-D236D62ED596}"/>
  <tableColumns count="3">
    <tableColumn id="1" xr3:uid="{21FC16B9-6E5E-4AAD-BCF0-C6A776FA39F3}" name="Mes"/>
    <tableColumn id="2" xr3:uid="{37D9736B-4BBA-4113-BEB6-FB1048207595}" name="Balance">
      <calculatedColumnFormula array="1">SUMPRODUCT(($F$3:$F$100&lt;&gt;"")*(TEXT($F$3:$F$100,"mmmm")=O3)*$G$3:$G$100)</calculatedColumnFormula>
    </tableColumn>
    <tableColumn id="3" xr3:uid="{5B181ADE-DC8F-4395-A0B1-0AC4441D7B3C}" name="Peso anual" dataDxfId="0" dataCellStyle="Porcentaje">
      <calculatedColumnFormula>IFERROR(P3/SUM(P3:P14),0)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Normal="100" workbookViewId="0">
      <pane ySplit="3" topLeftCell="A4" activePane="bottomLeft" state="frozen"/>
      <selection pane="bottomLeft" activeCell="I10" sqref="I10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39" t="s">
        <v>0</v>
      </c>
      <c r="B1" s="39"/>
      <c r="C1" s="39"/>
      <c r="D1" s="39"/>
      <c r="E1" s="39"/>
      <c r="F1" s="39"/>
      <c r="G1" s="39"/>
      <c r="H1" s="39"/>
      <c r="I1" s="39"/>
    </row>
    <row r="2" spans="1:11" ht="15.75" customHeight="1" x14ac:dyDescent="0.25">
      <c r="A2" s="40" t="s">
        <v>1</v>
      </c>
      <c r="B2" s="40"/>
      <c r="C2" s="40"/>
      <c r="D2" s="40"/>
      <c r="E2" s="40"/>
      <c r="F2" s="40"/>
      <c r="G2" s="40"/>
      <c r="H2" s="40"/>
      <c r="I2" s="40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13"/>
      <c r="C8" s="6"/>
      <c r="D8" s="7">
        <v>0</v>
      </c>
      <c r="E8" s="8">
        <f t="shared" si="0"/>
        <v>0</v>
      </c>
      <c r="F8" s="6"/>
      <c r="G8" s="9">
        <f>SUM($C$4:C8)</f>
        <v>406</v>
      </c>
      <c r="H8" s="9" t="str">
        <f t="shared" si="1"/>
        <v/>
      </c>
      <c r="I8" s="10" t="str">
        <f t="shared" si="2"/>
        <v/>
      </c>
      <c r="J8" s="9">
        <f>AVERAGE($E$4:E8)</f>
        <v>79.400000000000006</v>
      </c>
      <c r="K8" s="11"/>
    </row>
    <row r="9" spans="1:11" ht="18" customHeight="1" x14ac:dyDescent="0.25">
      <c r="A9" s="12">
        <v>6</v>
      </c>
      <c r="B9" s="13"/>
      <c r="C9" s="6"/>
      <c r="D9" s="7">
        <v>0</v>
      </c>
      <c r="E9" s="8">
        <f t="shared" si="0"/>
        <v>0</v>
      </c>
      <c r="F9" s="6"/>
      <c r="G9" s="14">
        <f>SUM($C$4:C9)</f>
        <v>406</v>
      </c>
      <c r="H9" s="14" t="str">
        <f t="shared" si="1"/>
        <v/>
      </c>
      <c r="I9" s="15" t="str">
        <f t="shared" si="2"/>
        <v/>
      </c>
      <c r="J9" s="14">
        <f>AVERAGE($E$4:E9)</f>
        <v>66.166666666666671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406</v>
      </c>
      <c r="H10" s="9" t="str">
        <f t="shared" si="1"/>
        <v/>
      </c>
      <c r="I10" s="10" t="str">
        <f t="shared" si="2"/>
        <v/>
      </c>
      <c r="J10" s="9">
        <f>AVERAGE($E$4:E10)</f>
        <v>56.714285714285715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406</v>
      </c>
      <c r="H11" s="14" t="str">
        <f t="shared" si="1"/>
        <v/>
      </c>
      <c r="I11" s="15" t="str">
        <f t="shared" si="2"/>
        <v/>
      </c>
      <c r="J11" s="14">
        <f>AVERAGE($E$4:E11)</f>
        <v>49.625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406</v>
      </c>
      <c r="H12" s="9" t="str">
        <f t="shared" si="1"/>
        <v/>
      </c>
      <c r="I12" s="10" t="str">
        <f t="shared" si="2"/>
        <v/>
      </c>
      <c r="J12" s="9">
        <f>AVERAGE($E$4:E12)</f>
        <v>44.111111111111114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406</v>
      </c>
      <c r="H13" s="14" t="str">
        <f t="shared" si="1"/>
        <v/>
      </c>
      <c r="I13" s="15" t="str">
        <f t="shared" si="2"/>
        <v/>
      </c>
      <c r="J13" s="14">
        <f>AVERAGE($E$4:E13)</f>
        <v>39.700000000000003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406</v>
      </c>
      <c r="H14" s="9" t="str">
        <f t="shared" si="1"/>
        <v/>
      </c>
      <c r="I14" s="10" t="str">
        <f t="shared" si="2"/>
        <v/>
      </c>
      <c r="J14" s="9">
        <f>AVERAGE($E$4:E14)</f>
        <v>36.090909090909093</v>
      </c>
      <c r="K14" s="11"/>
    </row>
    <row r="15" spans="1:11" ht="18" customHeight="1" x14ac:dyDescent="0.25">
      <c r="A15" s="12">
        <v>12</v>
      </c>
      <c r="B15" s="13"/>
      <c r="C15" s="6"/>
      <c r="D15" s="7">
        <v>0</v>
      </c>
      <c r="E15" s="8">
        <f t="shared" si="0"/>
        <v>0</v>
      </c>
      <c r="F15" s="6"/>
      <c r="G15" s="14">
        <f>SUM($C$4:C15)</f>
        <v>406</v>
      </c>
      <c r="H15" s="14" t="str">
        <f t="shared" si="1"/>
        <v/>
      </c>
      <c r="I15" s="15" t="str">
        <f t="shared" si="2"/>
        <v/>
      </c>
      <c r="J15" s="14">
        <f>AVERAGE($E$4:E15)</f>
        <v>33.083333333333336</v>
      </c>
      <c r="K15" s="11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406</v>
      </c>
      <c r="H16" s="9" t="str">
        <f t="shared" si="1"/>
        <v/>
      </c>
      <c r="I16" s="10" t="str">
        <f t="shared" si="2"/>
        <v/>
      </c>
      <c r="J16" s="9">
        <f>AVERAGE($E$4:E16)</f>
        <v>30.53846153846154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406</v>
      </c>
      <c r="H17" s="14" t="str">
        <f t="shared" si="1"/>
        <v/>
      </c>
      <c r="I17" s="15" t="str">
        <f t="shared" si="2"/>
        <v/>
      </c>
      <c r="J17" s="14">
        <f>AVERAGE($E$4:E17)</f>
        <v>28.357142857142858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406</v>
      </c>
      <c r="H18" s="9" t="str">
        <f t="shared" si="1"/>
        <v/>
      </c>
      <c r="I18" s="10" t="str">
        <f t="shared" si="2"/>
        <v/>
      </c>
      <c r="J18" s="9">
        <f>AVERAGE($E$4:E18)</f>
        <v>26.466666666666665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406</v>
      </c>
      <c r="H19" s="14" t="str">
        <f t="shared" si="1"/>
        <v/>
      </c>
      <c r="I19" s="15" t="str">
        <f t="shared" si="2"/>
        <v/>
      </c>
      <c r="J19" s="14">
        <f>AVERAGE($E$4:E19)</f>
        <v>24.8125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406</v>
      </c>
      <c r="H20" s="9" t="str">
        <f t="shared" si="1"/>
        <v/>
      </c>
      <c r="I20" s="10" t="str">
        <f t="shared" si="2"/>
        <v/>
      </c>
      <c r="J20" s="9">
        <f>AVERAGE($E$4:E20)</f>
        <v>23.352941176470587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406</v>
      </c>
      <c r="H21" s="14" t="str">
        <f t="shared" si="1"/>
        <v/>
      </c>
      <c r="I21" s="15" t="str">
        <f t="shared" si="2"/>
        <v/>
      </c>
      <c r="J21" s="14">
        <f>AVERAGE($E$4:E21)</f>
        <v>22.055555555555557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406</v>
      </c>
      <c r="H22" s="9" t="str">
        <f t="shared" si="1"/>
        <v/>
      </c>
      <c r="I22" s="10" t="str">
        <f t="shared" si="2"/>
        <v/>
      </c>
      <c r="J22" s="9">
        <f>AVERAGE($E$4:E22)</f>
        <v>20.894736842105264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406</v>
      </c>
      <c r="H23" s="14" t="str">
        <f t="shared" si="1"/>
        <v/>
      </c>
      <c r="I23" s="15" t="str">
        <f t="shared" si="2"/>
        <v/>
      </c>
      <c r="J23" s="14">
        <f>AVERAGE($E$4:E23)</f>
        <v>19.850000000000001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406</v>
      </c>
      <c r="H24" s="9" t="str">
        <f t="shared" si="1"/>
        <v/>
      </c>
      <c r="I24" s="10" t="str">
        <f t="shared" si="2"/>
        <v/>
      </c>
      <c r="J24" s="9">
        <f>AVERAGE($E$4:E24)</f>
        <v>18.904761904761905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406</v>
      </c>
      <c r="H25" s="14" t="str">
        <f t="shared" si="1"/>
        <v/>
      </c>
      <c r="I25" s="15" t="str">
        <f t="shared" si="2"/>
        <v/>
      </c>
      <c r="J25" s="14">
        <f>AVERAGE($E$4:E25)</f>
        <v>18.045454545454547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406</v>
      </c>
      <c r="H26" s="9" t="str">
        <f t="shared" si="1"/>
        <v/>
      </c>
      <c r="I26" s="10" t="str">
        <f t="shared" si="2"/>
        <v/>
      </c>
      <c r="J26" s="9">
        <f>AVERAGE($E$4:E26)</f>
        <v>17.260869565217391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406</v>
      </c>
      <c r="H27" s="14" t="str">
        <f t="shared" si="1"/>
        <v/>
      </c>
      <c r="I27" s="15" t="str">
        <f t="shared" si="2"/>
        <v/>
      </c>
      <c r="J27" s="14">
        <f>AVERAGE($E$4:E27)</f>
        <v>16.541666666666668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406</v>
      </c>
      <c r="H28" s="9" t="str">
        <f t="shared" si="1"/>
        <v/>
      </c>
      <c r="I28" s="10" t="str">
        <f t="shared" si="2"/>
        <v/>
      </c>
      <c r="J28" s="9">
        <f>AVERAGE($E$4:E28)</f>
        <v>15.88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406</v>
      </c>
      <c r="H29" s="14" t="str">
        <f t="shared" si="1"/>
        <v/>
      </c>
      <c r="I29" s="15" t="str">
        <f t="shared" si="2"/>
        <v/>
      </c>
      <c r="J29" s="14">
        <f>AVERAGE($E$4:E29)</f>
        <v>15.26923076923077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406</v>
      </c>
      <c r="H30" s="9" t="str">
        <f t="shared" si="1"/>
        <v/>
      </c>
      <c r="I30" s="10" t="str">
        <f t="shared" si="2"/>
        <v/>
      </c>
      <c r="J30" s="9">
        <f>AVERAGE($E$4:E30)</f>
        <v>14.703703703703704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406</v>
      </c>
      <c r="H31" s="14" t="str">
        <f t="shared" si="1"/>
        <v/>
      </c>
      <c r="I31" s="15" t="str">
        <f t="shared" si="2"/>
        <v/>
      </c>
      <c r="J31" s="14">
        <f>AVERAGE($E$4:E31)</f>
        <v>14.178571428571429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406</v>
      </c>
      <c r="H32" s="9" t="str">
        <f t="shared" si="1"/>
        <v/>
      </c>
      <c r="I32" s="10" t="str">
        <f t="shared" si="2"/>
        <v/>
      </c>
      <c r="J32" s="9">
        <f>AVERAGE($E$4:E32)</f>
        <v>13.689655172413794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406</v>
      </c>
      <c r="H33" s="14" t="str">
        <f t="shared" si="1"/>
        <v/>
      </c>
      <c r="I33" s="15" t="str">
        <f t="shared" si="2"/>
        <v/>
      </c>
      <c r="J33" s="14">
        <f>AVERAGE($E$4:E33)</f>
        <v>13.233333333333333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406</v>
      </c>
      <c r="H34" s="9" t="str">
        <f t="shared" si="1"/>
        <v/>
      </c>
      <c r="I34" s="10" t="str">
        <f t="shared" si="2"/>
        <v/>
      </c>
      <c r="J34" s="9">
        <f>AVERAGE($E$4:E34)</f>
        <v>12.806451612903226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406</v>
      </c>
      <c r="H35" s="14" t="str">
        <f t="shared" si="1"/>
        <v/>
      </c>
      <c r="I35" s="15" t="str">
        <f t="shared" si="2"/>
        <v/>
      </c>
      <c r="J35" s="14">
        <f>AVERAGE($E$4:E35)</f>
        <v>12.40625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406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12.030303030303031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406</v>
      </c>
      <c r="H37" s="14" t="str">
        <f t="shared" si="4"/>
        <v/>
      </c>
      <c r="I37" s="15" t="str">
        <f t="shared" si="5"/>
        <v/>
      </c>
      <c r="J37" s="14">
        <f>AVERAGE($E$4:E37)</f>
        <v>11.676470588235293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406</v>
      </c>
      <c r="H38" s="9" t="str">
        <f t="shared" si="4"/>
        <v/>
      </c>
      <c r="I38" s="10" t="str">
        <f t="shared" si="5"/>
        <v/>
      </c>
      <c r="J38" s="9">
        <f>AVERAGE($E$4:E38)</f>
        <v>11.342857142857143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406</v>
      </c>
      <c r="H39" s="14" t="str">
        <f t="shared" si="4"/>
        <v/>
      </c>
      <c r="I39" s="15" t="str">
        <f t="shared" si="5"/>
        <v/>
      </c>
      <c r="J39" s="14">
        <f>AVERAGE($E$4:E39)</f>
        <v>11.027777777777779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406</v>
      </c>
      <c r="H40" s="9" t="str">
        <f t="shared" si="4"/>
        <v/>
      </c>
      <c r="I40" s="10" t="str">
        <f t="shared" si="5"/>
        <v/>
      </c>
      <c r="J40" s="9">
        <f>AVERAGE($E$4:E40)</f>
        <v>10.72972972972973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406</v>
      </c>
      <c r="H41" s="14" t="str">
        <f t="shared" si="4"/>
        <v/>
      </c>
      <c r="I41" s="15" t="str">
        <f t="shared" si="5"/>
        <v/>
      </c>
      <c r="J41" s="14">
        <f>AVERAGE($E$4:E41)</f>
        <v>10.447368421052632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406</v>
      </c>
      <c r="H42" s="9" t="str">
        <f t="shared" si="4"/>
        <v/>
      </c>
      <c r="I42" s="10" t="str">
        <f t="shared" si="5"/>
        <v/>
      </c>
      <c r="J42" s="9">
        <f>AVERAGE($E$4:E42)</f>
        <v>10.179487179487179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406</v>
      </c>
      <c r="H43" s="14" t="str">
        <f t="shared" si="4"/>
        <v/>
      </c>
      <c r="I43" s="15" t="str">
        <f t="shared" si="5"/>
        <v/>
      </c>
      <c r="J43" s="14">
        <f>AVERAGE($E$4:E43)</f>
        <v>9.9250000000000007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406</v>
      </c>
      <c r="H44" s="9" t="str">
        <f t="shared" si="4"/>
        <v/>
      </c>
      <c r="I44" s="10" t="str">
        <f t="shared" si="5"/>
        <v/>
      </c>
      <c r="J44" s="9">
        <f>AVERAGE($E$4:E44)</f>
        <v>9.6829268292682933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406</v>
      </c>
      <c r="H45" s="14" t="str">
        <f t="shared" si="4"/>
        <v/>
      </c>
      <c r="I45" s="15" t="str">
        <f t="shared" si="5"/>
        <v/>
      </c>
      <c r="J45" s="14">
        <f>AVERAGE($E$4:E45)</f>
        <v>9.4523809523809526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406</v>
      </c>
      <c r="H46" s="9" t="str">
        <f t="shared" si="4"/>
        <v/>
      </c>
      <c r="I46" s="10" t="str">
        <f t="shared" si="5"/>
        <v/>
      </c>
      <c r="J46" s="9">
        <f>AVERAGE($E$4:E46)</f>
        <v>9.2325581395348841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406</v>
      </c>
      <c r="H47" s="14" t="str">
        <f t="shared" si="4"/>
        <v/>
      </c>
      <c r="I47" s="15" t="str">
        <f t="shared" si="5"/>
        <v/>
      </c>
      <c r="J47" s="14">
        <f>AVERAGE($E$4:E47)</f>
        <v>9.0227272727272734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406</v>
      </c>
      <c r="H48" s="9" t="str">
        <f t="shared" si="4"/>
        <v/>
      </c>
      <c r="I48" s="10" t="str">
        <f t="shared" si="5"/>
        <v/>
      </c>
      <c r="J48" s="9">
        <f>AVERAGE($E$4:E48)</f>
        <v>8.8222222222222229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406</v>
      </c>
      <c r="H49" s="14" t="str">
        <f t="shared" si="4"/>
        <v/>
      </c>
      <c r="I49" s="15" t="str">
        <f t="shared" si="5"/>
        <v/>
      </c>
      <c r="J49" s="14">
        <f>AVERAGE($E$4:E49)</f>
        <v>8.6304347826086953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406</v>
      </c>
      <c r="H50" s="9" t="str">
        <f t="shared" si="4"/>
        <v/>
      </c>
      <c r="I50" s="10" t="str">
        <f t="shared" si="5"/>
        <v/>
      </c>
      <c r="J50" s="9">
        <f>AVERAGE($E$4:E50)</f>
        <v>8.4468085106382986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406</v>
      </c>
      <c r="H51" s="14" t="str">
        <f t="shared" si="4"/>
        <v/>
      </c>
      <c r="I51" s="15" t="str">
        <f t="shared" si="5"/>
        <v/>
      </c>
      <c r="J51" s="14">
        <f>AVERAGE($E$4:E51)</f>
        <v>8.2708333333333339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406</v>
      </c>
      <c r="H52" s="9" t="str">
        <f t="shared" si="4"/>
        <v/>
      </c>
      <c r="I52" s="10" t="str">
        <f t="shared" si="5"/>
        <v/>
      </c>
      <c r="J52" s="9">
        <f>AVERAGE($E$4:E52)</f>
        <v>8.1020408163265305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406</v>
      </c>
      <c r="H53" s="14" t="str">
        <f t="shared" si="4"/>
        <v/>
      </c>
      <c r="I53" s="15" t="str">
        <f t="shared" si="5"/>
        <v/>
      </c>
      <c r="J53" s="14">
        <f>AVERAGE($E$4:E53)</f>
        <v>7.94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406</v>
      </c>
      <c r="H54" s="9" t="str">
        <f t="shared" si="4"/>
        <v/>
      </c>
      <c r="I54" s="10" t="str">
        <f t="shared" si="5"/>
        <v/>
      </c>
      <c r="J54" s="9">
        <f>AVERAGE($E$4:E54)</f>
        <v>7.784313725490196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406</v>
      </c>
      <c r="H55" s="14" t="str">
        <f t="shared" si="4"/>
        <v/>
      </c>
      <c r="I55" s="15" t="str">
        <f t="shared" si="5"/>
        <v/>
      </c>
      <c r="J55" s="14">
        <f>AVERAGE($E$4:E55)</f>
        <v>7.634615384615385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406</v>
      </c>
      <c r="H56" s="9" t="str">
        <f t="shared" si="4"/>
        <v/>
      </c>
      <c r="I56" s="10" t="str">
        <f t="shared" si="5"/>
        <v/>
      </c>
      <c r="J56" s="9">
        <f>AVERAGE($E$4:E56)</f>
        <v>7.4905660377358494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406</v>
      </c>
      <c r="H57" s="14" t="str">
        <f t="shared" si="4"/>
        <v/>
      </c>
      <c r="I57" s="15" t="str">
        <f t="shared" si="5"/>
        <v/>
      </c>
      <c r="J57" s="14">
        <f>AVERAGE($E$4:E57)</f>
        <v>7.3518518518518521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406</v>
      </c>
      <c r="H58" s="9" t="str">
        <f t="shared" si="4"/>
        <v/>
      </c>
      <c r="I58" s="10" t="str">
        <f t="shared" si="5"/>
        <v/>
      </c>
      <c r="J58" s="9">
        <f>AVERAGE($E$4:E58)</f>
        <v>7.2181818181818178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406</v>
      </c>
      <c r="H59" s="14" t="str">
        <f t="shared" si="4"/>
        <v/>
      </c>
      <c r="I59" s="15" t="str">
        <f t="shared" si="5"/>
        <v/>
      </c>
      <c r="J59" s="14">
        <f>AVERAGE($E$4:E59)</f>
        <v>7.0892857142857144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406</v>
      </c>
      <c r="H60" s="9" t="str">
        <f t="shared" si="4"/>
        <v/>
      </c>
      <c r="I60" s="10" t="str">
        <f t="shared" si="5"/>
        <v/>
      </c>
      <c r="J60" s="9">
        <f>AVERAGE($E$4:E60)</f>
        <v>6.9649122807017543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406</v>
      </c>
      <c r="H61" s="14" t="str">
        <f t="shared" si="4"/>
        <v/>
      </c>
      <c r="I61" s="15" t="str">
        <f t="shared" si="5"/>
        <v/>
      </c>
      <c r="J61" s="14">
        <f>AVERAGE($E$4:E61)</f>
        <v>6.8448275862068968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406</v>
      </c>
      <c r="H62" s="9" t="str">
        <f t="shared" si="4"/>
        <v/>
      </c>
      <c r="I62" s="10" t="str">
        <f t="shared" si="5"/>
        <v/>
      </c>
      <c r="J62" s="9">
        <f>AVERAGE($E$4:E62)</f>
        <v>6.7288135593220337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406</v>
      </c>
      <c r="H63" s="14" t="str">
        <f t="shared" si="4"/>
        <v/>
      </c>
      <c r="I63" s="15" t="str">
        <f t="shared" si="5"/>
        <v/>
      </c>
      <c r="J63" s="14">
        <f>AVERAGE($E$4:E63)</f>
        <v>6.6166666666666663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B8" sqref="B8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46" t="s">
        <v>14</v>
      </c>
      <c r="B1" s="46"/>
      <c r="C1" s="46"/>
      <c r="D1" s="46"/>
      <c r="E1" s="46"/>
    </row>
    <row r="2" spans="1:7" ht="13.5" customHeight="1" x14ac:dyDescent="0.25">
      <c r="A2" s="40" t="s">
        <v>15</v>
      </c>
      <c r="B2" s="40"/>
      <c r="C2" s="40"/>
      <c r="D2" s="40"/>
      <c r="E2" s="40"/>
    </row>
    <row r="3" spans="1:7" ht="21.75" customHeight="1" x14ac:dyDescent="0.25">
      <c r="A3" s="47" t="s">
        <v>16</v>
      </c>
      <c r="B3" s="47"/>
      <c r="D3" s="47" t="s">
        <v>17</v>
      </c>
      <c r="E3" s="47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406</v>
      </c>
      <c r="D4" s="48" t="s">
        <v>21</v>
      </c>
      <c r="E4" s="48"/>
    </row>
    <row r="5" spans="1:7" ht="18" customHeight="1" x14ac:dyDescent="0.25">
      <c r="A5" s="17" t="s">
        <v>22</v>
      </c>
      <c r="B5" s="18">
        <f ca="1">OFFSET(Registro_Mensual!F3,COUNTA(Registro_Mensual!F4:F63),0)</f>
        <v>420</v>
      </c>
      <c r="D5" s="17" t="s">
        <v>23</v>
      </c>
      <c r="E5" s="18">
        <f>B8</f>
        <v>99.25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14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3.4482758620689724E-2</v>
      </c>
      <c r="D7" s="17" t="s">
        <v>27</v>
      </c>
      <c r="E7" s="18">
        <f>E5*((1+E6/12)^60-1)/(E6/12)</f>
        <v>7292.5779823401608</v>
      </c>
      <c r="F7" s="23">
        <f>E5*60</f>
        <v>5955</v>
      </c>
      <c r="G7" s="23">
        <f>E7-F7</f>
        <v>1337.5779823401608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99.25</v>
      </c>
      <c r="D8" s="17" t="s">
        <v>29</v>
      </c>
      <c r="E8" s="18">
        <f>E5*((1+E6/12)^120-1)/(E6/12)</f>
        <v>18157.393991784433</v>
      </c>
      <c r="F8" s="23">
        <f>E5*120</f>
        <v>11910</v>
      </c>
      <c r="G8" s="23">
        <f>E8-F8</f>
        <v>6247.3939917844327</v>
      </c>
    </row>
    <row r="9" spans="1:7" ht="18" customHeight="1" x14ac:dyDescent="0.25">
      <c r="A9" s="17" t="s">
        <v>30</v>
      </c>
      <c r="B9" s="22">
        <f>COUNTIF(Registro_Mensual!C4:C63,"&gt;0")</f>
        <v>4</v>
      </c>
      <c r="D9" s="17" t="s">
        <v>31</v>
      </c>
      <c r="E9" s="18">
        <f>E5*((1+E6/12)^240-1)/(E6/12)</f>
        <v>58460.276250429619</v>
      </c>
      <c r="F9" s="23">
        <f>E5*240</f>
        <v>23820</v>
      </c>
      <c r="G9" s="23">
        <f>E9-F9</f>
        <v>34640.276250429619</v>
      </c>
    </row>
    <row r="10" spans="1:7" ht="18" customHeight="1" x14ac:dyDescent="0.25">
      <c r="A10" s="43" t="s">
        <v>32</v>
      </c>
      <c r="B10" s="43"/>
      <c r="D10" s="17" t="s">
        <v>33</v>
      </c>
      <c r="E10" s="18">
        <f>E5*((1+E6/12)^360-1)/(E6/12)</f>
        <v>147918.17527983681</v>
      </c>
      <c r="F10" s="23">
        <f>E5*360</f>
        <v>35730</v>
      </c>
      <c r="G10" s="23">
        <f>E10-F10</f>
        <v>112188.17527983681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346482.52726334758</v>
      </c>
      <c r="F11" s="23">
        <f>E5*480</f>
        <v>47640</v>
      </c>
      <c r="G11" s="23">
        <f>E11-F11</f>
        <v>298842.52726334758</v>
      </c>
    </row>
    <row r="12" spans="1:7" ht="15" customHeight="1" x14ac:dyDescent="0.25">
      <c r="D12" s="44" t="s">
        <v>34</v>
      </c>
      <c r="E12" s="44"/>
    </row>
    <row r="13" spans="1:7" ht="21.75" customHeight="1" x14ac:dyDescent="0.25">
      <c r="A13" s="45" t="s">
        <v>35</v>
      </c>
      <c r="B13" s="45"/>
      <c r="C13" s="45"/>
      <c r="D13" s="45"/>
      <c r="E13" s="45"/>
    </row>
    <row r="14" spans="1:7" ht="21.75" customHeight="1" x14ac:dyDescent="0.25">
      <c r="A14" s="41" t="s">
        <v>36</v>
      </c>
      <c r="B14" s="41"/>
      <c r="C14" s="41"/>
      <c r="D14" s="41"/>
      <c r="E14" s="41"/>
    </row>
    <row r="15" spans="1:7" ht="21.75" customHeight="1" x14ac:dyDescent="0.25">
      <c r="A15" s="42" t="s">
        <v>37</v>
      </c>
      <c r="B15" s="42"/>
      <c r="C15" s="42"/>
      <c r="D15" s="42"/>
      <c r="E15" s="42"/>
    </row>
    <row r="16" spans="1:7" ht="21.75" customHeight="1" x14ac:dyDescent="0.25">
      <c r="A16" s="41" t="s">
        <v>38</v>
      </c>
      <c r="B16" s="41"/>
      <c r="C16" s="41"/>
      <c r="D16" s="41"/>
      <c r="E16" s="41"/>
    </row>
    <row r="17" spans="1:5" ht="21.75" customHeight="1" x14ac:dyDescent="0.25">
      <c r="A17" s="42" t="s">
        <v>39</v>
      </c>
      <c r="B17" s="42"/>
      <c r="C17" s="42"/>
      <c r="D17" s="42"/>
      <c r="E17" s="42"/>
    </row>
    <row r="18" spans="1:5" ht="21.75" customHeight="1" x14ac:dyDescent="0.25">
      <c r="A18" s="41" t="s">
        <v>40</v>
      </c>
      <c r="B18" s="41"/>
      <c r="C18" s="41"/>
      <c r="D18" s="41"/>
      <c r="E18" s="41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Q14"/>
  <sheetViews>
    <sheetView showGridLines="0" tabSelected="1" zoomScale="70" zoomScaleNormal="70" workbookViewId="0">
      <selection activeCell="H24" sqref="H24"/>
    </sheetView>
  </sheetViews>
  <sheetFormatPr baseColWidth="10" defaultRowHeight="15" x14ac:dyDescent="0.25"/>
  <cols>
    <col min="2" max="2" width="12" customWidth="1"/>
    <col min="3" max="3" width="13.42578125" style="25" customWidth="1"/>
    <col min="5" max="5" width="12.7109375" bestFit="1" customWidth="1"/>
    <col min="6" max="6" width="13.7109375" customWidth="1"/>
    <col min="7" max="7" width="11.42578125" style="32"/>
    <col min="17" max="17" width="12.7109375" style="50" customWidth="1"/>
  </cols>
  <sheetData>
    <row r="1" spans="2:17" x14ac:dyDescent="0.25">
      <c r="B1" s="49" t="s">
        <v>50</v>
      </c>
      <c r="C1" s="49"/>
      <c r="E1" s="49" t="s">
        <v>47</v>
      </c>
      <c r="F1" s="49"/>
      <c r="G1" s="49"/>
      <c r="H1" s="49"/>
    </row>
    <row r="2" spans="2:17" x14ac:dyDescent="0.25">
      <c r="B2" s="30" t="s">
        <v>46</v>
      </c>
      <c r="C2" s="31" t="s">
        <v>48</v>
      </c>
      <c r="E2" t="s">
        <v>46</v>
      </c>
      <c r="F2" t="s">
        <v>49</v>
      </c>
      <c r="G2" s="32" t="s">
        <v>48</v>
      </c>
      <c r="H2" t="s">
        <v>53</v>
      </c>
      <c r="O2" t="s">
        <v>2</v>
      </c>
      <c r="P2" t="s">
        <v>48</v>
      </c>
      <c r="Q2" s="50" t="s">
        <v>54</v>
      </c>
    </row>
    <row r="3" spans="2:17" x14ac:dyDescent="0.25">
      <c r="B3" s="26" t="s">
        <v>42</v>
      </c>
      <c r="C3" s="27">
        <f t="shared" ref="C3:C11" si="0">SUMIF(E:E,B3,G:G)</f>
        <v>131</v>
      </c>
      <c r="E3" t="s">
        <v>45</v>
      </c>
      <c r="F3" s="24">
        <v>46218</v>
      </c>
      <c r="G3" s="32">
        <v>8</v>
      </c>
      <c r="H3" s="32">
        <f>SUM($G$3:G3)</f>
        <v>8</v>
      </c>
      <c r="O3" t="s">
        <v>55</v>
      </c>
      <c r="P3" cm="1">
        <f t="array" ref="P3">SUMPRODUCT(($F$3:$F$100&lt;&gt;"")*(TEXT($F$3:$F$100,"mmmm")=O3)*$G$3:$G$100)</f>
        <v>0</v>
      </c>
      <c r="Q3" s="50">
        <f>IFERROR(P3/SUM(P3:P14),0)</f>
        <v>0</v>
      </c>
    </row>
    <row r="4" spans="2:17" x14ac:dyDescent="0.25">
      <c r="B4" s="26" t="s">
        <v>44</v>
      </c>
      <c r="C4" s="27">
        <f t="shared" si="0"/>
        <v>19.399999999999999</v>
      </c>
      <c r="E4" t="s">
        <v>45</v>
      </c>
      <c r="F4" s="24">
        <v>46219</v>
      </c>
      <c r="G4" s="32">
        <v>7.88</v>
      </c>
      <c r="H4" s="32">
        <f>SUM($G$3:G4)</f>
        <v>15.879999999999999</v>
      </c>
      <c r="O4" t="s">
        <v>56</v>
      </c>
      <c r="P4" cm="1">
        <f t="array" ref="P4">SUMPRODUCT(($F$3:$F$100&lt;&gt;"")*(TEXT($F$3:$F$100,"mmmm")=O4)*$G$3:$G$100)</f>
        <v>0</v>
      </c>
      <c r="Q4" s="50">
        <f t="shared" ref="Q4:Q14" si="1">IFERROR(P4/SUM(P4:P15),0)</f>
        <v>0</v>
      </c>
    </row>
    <row r="5" spans="2:17" x14ac:dyDescent="0.25">
      <c r="B5" s="26" t="s">
        <v>45</v>
      </c>
      <c r="C5" s="27">
        <f t="shared" si="0"/>
        <v>15.879999999999999</v>
      </c>
      <c r="E5" t="s">
        <v>44</v>
      </c>
      <c r="F5" s="24">
        <v>46220</v>
      </c>
      <c r="G5" s="32">
        <v>19.399999999999999</v>
      </c>
      <c r="H5" s="32">
        <f>SUM($G$3:G5)</f>
        <v>35.28</v>
      </c>
      <c r="O5" t="s">
        <v>57</v>
      </c>
      <c r="P5" cm="1">
        <f t="array" ref="P5">SUMPRODUCT(($F$3:$F$100&lt;&gt;"")*(TEXT($F$3:$F$100,"mmmm")=O5)*$G$3:$G$100)</f>
        <v>0</v>
      </c>
      <c r="Q5" s="50">
        <f t="shared" si="1"/>
        <v>0</v>
      </c>
    </row>
    <row r="6" spans="2:17" x14ac:dyDescent="0.25">
      <c r="B6" s="26"/>
      <c r="C6" s="27">
        <f t="shared" si="0"/>
        <v>0</v>
      </c>
      <c r="E6" t="s">
        <v>42</v>
      </c>
      <c r="F6" s="24">
        <v>46232</v>
      </c>
      <c r="G6" s="32">
        <v>131</v>
      </c>
      <c r="H6" s="32">
        <f>SUM($G$3:G6)</f>
        <v>166.28</v>
      </c>
      <c r="O6" t="s">
        <v>58</v>
      </c>
      <c r="P6" cm="1">
        <f t="array" ref="P6">SUMPRODUCT(($F$3:$F$100&lt;&gt;"")*(TEXT($F$3:$F$100,"mmmm")=O6)*$G$3:$G$100)</f>
        <v>0</v>
      </c>
      <c r="Q6" s="50">
        <f t="shared" si="1"/>
        <v>0</v>
      </c>
    </row>
    <row r="7" spans="2:17" x14ac:dyDescent="0.25">
      <c r="B7" s="26"/>
      <c r="C7" s="27">
        <f t="shared" si="0"/>
        <v>0</v>
      </c>
      <c r="O7" t="s">
        <v>59</v>
      </c>
      <c r="P7" cm="1">
        <f t="array" ref="P7">SUMPRODUCT(($F$3:$F$100&lt;&gt;"")*(TEXT($F$3:$F$100,"mmmm")=O7)*$G$3:$G$100)</f>
        <v>0</v>
      </c>
      <c r="Q7" s="50">
        <f t="shared" si="1"/>
        <v>0</v>
      </c>
    </row>
    <row r="8" spans="2:17" x14ac:dyDescent="0.25">
      <c r="B8" s="26"/>
      <c r="C8" s="27">
        <f t="shared" si="0"/>
        <v>0</v>
      </c>
      <c r="O8" t="s">
        <v>60</v>
      </c>
      <c r="P8" cm="1">
        <f t="array" ref="P8">SUMPRODUCT(($F$3:$F$100&lt;&gt;"")*(TEXT($F$3:$F$100,"mmmm")=O8)*$G$3:$G$100)</f>
        <v>0</v>
      </c>
      <c r="Q8" s="50">
        <f t="shared" si="1"/>
        <v>0</v>
      </c>
    </row>
    <row r="9" spans="2:17" x14ac:dyDescent="0.25">
      <c r="B9" s="26"/>
      <c r="C9" s="27">
        <f t="shared" si="0"/>
        <v>0</v>
      </c>
      <c r="O9" t="s">
        <v>61</v>
      </c>
      <c r="P9" cm="1">
        <f t="array" ref="P9">SUMPRODUCT(($F$3:$F$100&lt;&gt;"")*(TEXT($F$3:$F$100,"mmmm")=O9)*$G$3:$G$100)</f>
        <v>166.28</v>
      </c>
      <c r="Q9" s="50">
        <f t="shared" si="1"/>
        <v>1</v>
      </c>
    </row>
    <row r="10" spans="2:17" x14ac:dyDescent="0.25">
      <c r="B10" s="26"/>
      <c r="C10" s="27">
        <f t="shared" si="0"/>
        <v>0</v>
      </c>
      <c r="O10" t="s">
        <v>62</v>
      </c>
      <c r="P10" cm="1">
        <f t="array" ref="P10">SUMPRODUCT(($F$3:$F$100&lt;&gt;"")*(TEXT($F$3:$F$100,"mmmm")=O10)*$G$3:$G$100)</f>
        <v>0</v>
      </c>
      <c r="Q10" s="50">
        <f t="shared" si="1"/>
        <v>0</v>
      </c>
    </row>
    <row r="11" spans="2:17" x14ac:dyDescent="0.25">
      <c r="B11" s="28"/>
      <c r="C11" s="29">
        <f t="shared" si="0"/>
        <v>0</v>
      </c>
      <c r="O11" t="s">
        <v>63</v>
      </c>
      <c r="P11" cm="1">
        <f t="array" ref="P11">SUMPRODUCT(($F$3:$F$100&lt;&gt;"")*(TEXT($F$3:$F$100,"mmmm")=O11)*$G$3:$G$100)</f>
        <v>0</v>
      </c>
      <c r="Q11" s="50">
        <f t="shared" si="1"/>
        <v>0</v>
      </c>
    </row>
    <row r="12" spans="2:17" x14ac:dyDescent="0.25">
      <c r="B12" s="37" t="s">
        <v>43</v>
      </c>
      <c r="C12" s="38">
        <f>SUM(C3:C11)</f>
        <v>166.28</v>
      </c>
      <c r="O12" t="s">
        <v>64</v>
      </c>
      <c r="P12" cm="1">
        <f t="array" ref="P12">SUMPRODUCT(($F$3:$F$100&lt;&gt;"")*(TEXT($F$3:$F$100,"mmmm")=O12)*$G$3:$G$100)</f>
        <v>0</v>
      </c>
      <c r="Q12" s="50">
        <f t="shared" si="1"/>
        <v>0</v>
      </c>
    </row>
    <row r="13" spans="2:17" x14ac:dyDescent="0.25">
      <c r="B13" s="34" t="s">
        <v>51</v>
      </c>
      <c r="C13" s="33">
        <f>C12*0.19*-1</f>
        <v>-31.5932</v>
      </c>
      <c r="O13" t="s">
        <v>65</v>
      </c>
      <c r="P13" cm="1">
        <f t="array" ref="P13">SUMPRODUCT(($F$3:$F$100&lt;&gt;"")*(TEXT($F$3:$F$100,"mmmm")=O13)*$G$3:$G$100)</f>
        <v>0</v>
      </c>
      <c r="Q13" s="50">
        <f t="shared" si="1"/>
        <v>0</v>
      </c>
    </row>
    <row r="14" spans="2:17" x14ac:dyDescent="0.25">
      <c r="B14" s="35" t="s">
        <v>52</v>
      </c>
      <c r="C14" s="36">
        <f>C12+C13</f>
        <v>134.68680000000001</v>
      </c>
      <c r="O14" t="s">
        <v>66</v>
      </c>
      <c r="P14" cm="1">
        <f t="array" ref="P14">SUMPRODUCT(($F$3:$F$100&lt;&gt;"")*(TEXT($F$3:$F$100,"mmmm")=O14)*$G$3:$G$100)</f>
        <v>0</v>
      </c>
      <c r="Q14" s="50">
        <f t="shared" si="1"/>
        <v>0</v>
      </c>
    </row>
  </sheetData>
  <mergeCells count="2">
    <mergeCell ref="B1:C1"/>
    <mergeCell ref="E1:H1"/>
  </mergeCells>
  <phoneticPr fontId="16" type="noConversion"/>
  <conditionalFormatting sqref="C3:C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5:C1048576 C3:C1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C3:C11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C15:C1048576 C3:C11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0</cp:revision>
  <dcterms:created xsi:type="dcterms:W3CDTF">2026-04-04T10:11:19Z</dcterms:created>
  <dcterms:modified xsi:type="dcterms:W3CDTF">2026-07-31T10:00:29Z</dcterms:modified>
  <dc:language>en-US</dc:language>
</cp:coreProperties>
</file>